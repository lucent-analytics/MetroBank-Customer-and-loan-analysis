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OneDrive\Documents\first project\"/>
    </mc:Choice>
  </mc:AlternateContent>
  <xr:revisionPtr revIDLastSave="0" documentId="13_ncr:1_{44040EB9-DCB7-4211-8AAB-7461BD3D57FA}" xr6:coauthVersionLast="47" xr6:coauthVersionMax="47" xr10:uidLastSave="{00000000-0000-0000-0000-000000000000}"/>
  <bookViews>
    <workbookView xWindow="-110" yWindow="-110" windowWidth="25820" windowHeight="14620" activeTab="1" xr2:uid="{00000000-000D-0000-FFFF-FFFF00000000}"/>
  </bookViews>
  <sheets>
    <sheet name="customersssssss" sheetId="1" r:id="rId1"/>
    <sheet name="Pivot Table" sheetId="2" r:id="rId2"/>
    <sheet name="Dashboard" sheetId="4" r:id="rId3"/>
  </sheets>
  <definedNames>
    <definedName name="AVERAGEAGE">'Pivot Table'!$M$5</definedName>
    <definedName name="AVERAGEINCOME">'Pivot Table'!$M$3</definedName>
    <definedName name="AVERAGETENURE">'Pivot Table'!$M$4</definedName>
    <definedName name="Slicer_Customer_Segment">#N/A</definedName>
    <definedName name="Slicer_Region">#N/A</definedName>
    <definedName name="TOTALCUSTOMERS">'Pivot Table'!$M$2</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alcChain>
</file>

<file path=xl/sharedStrings.xml><?xml version="1.0" encoding="utf-8"?>
<sst xmlns="http://schemas.openxmlformats.org/spreadsheetml/2006/main" count="3098" uniqueCount="1060">
  <si>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</si>
  <si>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</si>
  <si>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</si>
  <si>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</si>
  <si>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</si>
  <si>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</si>
  <si>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</si>
  <si>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</si>
  <si>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</si>
  <si>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</si>
  <si>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</si>
  <si>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</si>
  <si>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</si>
  <si>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</si>
  <si>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</si>
  <si>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</si>
  <si>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</si>
  <si>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</si>
  <si>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</si>
  <si>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</si>
  <si>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</si>
  <si>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</si>
  <si>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</si>
  <si>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</si>
  <si>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</si>
  <si>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</si>
  <si>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</si>
  <si>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</si>
  <si>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</si>
  <si>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</si>
  <si>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</si>
  <si>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</si>
  <si>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</si>
  <si>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</si>
  <si>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</si>
  <si>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</si>
  <si>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</si>
  <si>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</si>
  <si>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</si>
  <si>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</si>
  <si>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</si>
  <si>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</si>
  <si>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</si>
  <si>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</si>
  <si>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</si>
  <si>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</si>
  <si>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</si>
  <si>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</si>
  <si>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</si>
  <si>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</si>
  <si>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</si>
  <si>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</si>
  <si>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</si>
  <si>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</si>
  <si>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</si>
  <si>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</si>
  <si>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</si>
  <si>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</si>
  <si>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</si>
  <si>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</si>
  <si>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</si>
  <si>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</si>
  <si>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</si>
  <si>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</si>
  <si>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</si>
  <si>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</si>
  <si>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</si>
  <si>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</si>
  <si>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</si>
  <si>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</si>
  <si>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</si>
  <si>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</si>
  <si>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</si>
  <si>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</si>
  <si>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</si>
  <si>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</si>
  <si>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</si>
  <si>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</si>
  <si>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</si>
  <si>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</si>
  <si>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</si>
  <si>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</si>
  <si>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</si>
  <si>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</si>
  <si>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</si>
  <si>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</si>
  <si>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</si>
  <si>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</si>
  <si>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</si>
  <si>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</si>
  <si>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</si>
  <si>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</si>
  <si>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</si>
  <si>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</si>
  <si>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</si>
  <si>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</si>
  <si>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</si>
  <si>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</si>
  <si>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</si>
  <si>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</si>
  <si>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</si>
  <si>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</si>
  <si>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</si>
  <si>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</si>
  <si>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</si>
  <si>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</si>
  <si>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</si>
  <si>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</si>
  <si>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</si>
  <si>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</si>
  <si>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</si>
  <si>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</si>
  <si>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</si>
  <si>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</si>
  <si>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</si>
  <si>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</si>
  <si>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</si>
  <si>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</si>
  <si>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</si>
  <si>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</si>
  <si>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</si>
  <si>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</si>
  <si>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</si>
  <si>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</si>
  <si>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</si>
  <si>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</si>
  <si>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</si>
  <si>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</si>
  <si>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</si>
  <si>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</si>
  <si>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</si>
  <si>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</si>
  <si>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</si>
  <si>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</si>
  <si>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</si>
  <si>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</si>
  <si>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</si>
  <si>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</si>
  <si>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</si>
  <si>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</si>
  <si>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</si>
  <si>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</si>
  <si>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</si>
  <si>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</si>
  <si>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</si>
  <si>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</si>
  <si>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</si>
  <si>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</si>
  <si>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</si>
  <si>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</si>
  <si>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</si>
  <si>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</si>
  <si>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</si>
  <si>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</si>
  <si>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</si>
  <si>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</si>
  <si>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</si>
  <si>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</si>
  <si>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</si>
  <si>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</si>
  <si>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</si>
  <si>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</si>
  <si>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</si>
  <si>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</si>
  <si>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</si>
  <si>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</si>
  <si>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</si>
  <si>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</si>
  <si>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</si>
  <si>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</si>
  <si>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</si>
  <si>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</si>
  <si>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</si>
  <si>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</si>
  <si>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</si>
  <si>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</si>
  <si>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</si>
  <si>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</si>
  <si>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</si>
  <si>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</si>
  <si>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</si>
  <si>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</si>
  <si>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</si>
  <si>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</si>
  <si>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</si>
  <si>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</si>
  <si>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</si>
  <si>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</si>
  <si>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</si>
  <si>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</si>
  <si>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</si>
  <si>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</si>
  <si>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</si>
  <si>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</si>
  <si>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</si>
  <si>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</si>
  <si>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</si>
  <si>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</si>
  <si>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</si>
  <si>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</si>
  <si>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</si>
  <si>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</si>
  <si>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</si>
  <si>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</si>
  <si>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</si>
  <si>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</si>
  <si>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</si>
  <si>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</si>
  <si>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</si>
  <si>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</si>
  <si>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</si>
  <si>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</si>
  <si>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</si>
  <si>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</si>
  <si>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</si>
  <si>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</si>
  <si>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</si>
  <si>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</si>
  <si>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</si>
  <si>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</si>
  <si>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</si>
  <si>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</si>
  <si>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</si>
  <si>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</si>
  <si>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</si>
  <si>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</si>
  <si>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</si>
  <si>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</si>
  <si>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</si>
  <si>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</si>
  <si>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</si>
  <si>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</si>
  <si>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</si>
  <si>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</si>
  <si>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</si>
  <si>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</si>
  <si>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</si>
  <si>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</si>
  <si>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</si>
  <si>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</si>
  <si>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</si>
  <si>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</si>
  <si>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</si>
  <si>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</si>
  <si>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</si>
  <si>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</si>
  <si>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</si>
  <si>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</si>
  <si>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</si>
  <si>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</si>
  <si>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</si>
  <si>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</si>
  <si>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</si>
  <si>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</si>
  <si>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</si>
  <si>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</si>
  <si>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</si>
  <si>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</si>
  <si>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</si>
  <si>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</si>
  <si>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</si>
  <si>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</si>
  <si>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</si>
  <si>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</si>
  <si>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</si>
  <si>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</si>
  <si>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</si>
  <si>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</si>
  <si>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</si>
  <si>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</si>
  <si>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</si>
  <si>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</si>
  <si>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</si>
  <si>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</si>
  <si>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</si>
  <si>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</si>
  <si>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</si>
  <si>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</si>
  <si>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</si>
  <si>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</si>
  <si>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</si>
  <si>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</si>
  <si>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</si>
  <si>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</si>
  <si>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</si>
  <si>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</si>
  <si>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</si>
  <si>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</si>
  <si>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</si>
  <si>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</si>
  <si>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</si>
  <si>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</si>
  <si>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</si>
  <si>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</si>
  <si>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</si>
  <si>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</si>
  <si>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</si>
  <si>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</si>
  <si>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</si>
  <si>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</si>
  <si>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</si>
  <si>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</si>
  <si>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</si>
  <si>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</si>
  <si>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</si>
  <si>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</si>
  <si>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</si>
  <si>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</si>
  <si>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</si>
  <si>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</si>
  <si>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</si>
  <si>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</si>
  <si>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</si>
  <si>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</si>
  <si>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</si>
  <si>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</si>
  <si>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</si>
  <si>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</si>
  <si>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</si>
  <si>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</si>
  <si>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</si>
  <si>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</si>
  <si>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</si>
  <si>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</si>
  <si>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</si>
  <si>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</si>
  <si>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</si>
  <si>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</si>
  <si>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</si>
  <si>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</si>
  <si>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</si>
  <si>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</si>
  <si>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</si>
  <si>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</si>
  <si>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</si>
  <si>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</si>
  <si>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</si>
  <si>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</si>
  <si>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</si>
  <si>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</si>
  <si>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</si>
  <si>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</si>
  <si>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</si>
  <si>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</si>
  <si>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</si>
  <si>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</si>
  <si>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</si>
  <si>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</si>
  <si>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</si>
  <si>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</si>
  <si>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</si>
  <si>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</si>
  <si>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</si>
  <si>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</si>
  <si>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</si>
  <si>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</si>
  <si>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</si>
  <si>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</si>
  <si>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</si>
  <si>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</si>
  <si>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</si>
  <si>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</si>
  <si>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</si>
  <si>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</si>
  <si>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</si>
  <si>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</si>
  <si>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</si>
  <si>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</si>
  <si>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</si>
  <si>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</si>
  <si>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</si>
  <si>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</si>
  <si>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</si>
  <si>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</si>
  <si>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</si>
  <si>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</si>
  <si>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</si>
  <si>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</si>
  <si>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</si>
  <si>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</si>
  <si>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</si>
  <si>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</si>
  <si>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</si>
  <si>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</si>
  <si>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</si>
  <si>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</si>
  <si>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</si>
  <si>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</si>
  <si>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</si>
  <si>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</si>
  <si>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</si>
  <si>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</si>
  <si>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</si>
  <si>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</si>
  <si>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</si>
  <si>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</si>
  <si>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</si>
  <si>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</si>
  <si>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</si>
  <si>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</si>
  <si>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</si>
  <si>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</si>
  <si>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</si>
  <si>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</si>
  <si>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</si>
  <si>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</si>
  <si>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</si>
  <si>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</si>
  <si>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</si>
  <si>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</si>
  <si>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</si>
  <si>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</si>
  <si>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</si>
  <si>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</si>
  <si>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</si>
  <si>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</si>
  <si>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</si>
  <si>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</si>
  <si>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</si>
  <si>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</si>
  <si>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</si>
  <si>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</si>
  <si>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</si>
  <si>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</si>
  <si>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</si>
  <si>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</si>
  <si>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</si>
  <si>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</si>
  <si>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</si>
  <si>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</si>
  <si>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</si>
  <si>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</si>
  <si>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</si>
  <si>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</si>
  <si>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</si>
  <si>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</si>
  <si>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</si>
  <si>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</si>
  <si>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</si>
  <si>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</si>
  <si>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</si>
  <si>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</si>
  <si>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</si>
  <si>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</si>
  <si>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</si>
  <si>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</si>
  <si>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</si>
  <si>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</si>
  <si>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</si>
  <si>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</si>
  <si>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</si>
  <si>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</si>
  <si>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</si>
  <si>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</si>
  <si>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</si>
  <si>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</si>
  <si>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</si>
  <si>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</si>
  <si>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</si>
  <si>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</si>
  <si>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</si>
  <si>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</si>
  <si>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</si>
  <si>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</si>
  <si>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</si>
  <si>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</si>
  <si>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</si>
  <si>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</si>
  <si>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</si>
  <si>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</si>
  <si>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</si>
  <si>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</si>
  <si>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</si>
  <si>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</si>
  <si>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</si>
  <si>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</si>
  <si>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</si>
  <si>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</si>
  <si>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</si>
  <si>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</si>
  <si>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</si>
  <si>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</si>
  <si>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</si>
  <si>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</si>
  <si>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</si>
  <si>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</si>
  <si>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</si>
  <si>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</si>
  <si>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</si>
  <si>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</si>
  <si>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</si>
  <si>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</si>
  <si>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</si>
  <si>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</si>
  <si>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</si>
  <si>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</si>
  <si>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</si>
  <si>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</si>
  <si>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</si>
  <si>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</si>
  <si>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</si>
  <si>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</si>
  <si>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</si>
  <si>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</si>
  <si>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</si>
  <si>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</si>
  <si>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</si>
  <si>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</si>
  <si>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</si>
  <si>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</si>
  <si>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</si>
  <si>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</si>
  <si>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</si>
  <si>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</si>
  <si>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</si>
  <si>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</si>
  <si>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</si>
  <si>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</si>
  <si>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</si>
  <si>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</si>
  <si>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</si>
  <si>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</si>
  <si>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</si>
  <si>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</si>
  <si>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</si>
  <si>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</si>
  <si>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</si>
  <si>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</si>
  <si>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</si>
  <si>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</si>
  <si>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</si>
  <si>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</si>
  <si>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</si>
  <si>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</si>
  <si>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</si>
  <si>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</si>
  <si>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</si>
  <si>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</si>
  <si>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</si>
  <si>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</si>
  <si>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</si>
  <si>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</si>
  <si>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</si>
  <si>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</si>
  <si>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</si>
  <si>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</si>
  <si>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</si>
  <si>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</si>
  <si>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</si>
  <si>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</si>
  <si>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</si>
  <si>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</si>
  <si>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</si>
  <si>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</si>
  <si>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</si>
  <si>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</si>
  <si>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</si>
  <si>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</si>
  <si>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</si>
  <si>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</si>
  <si>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</si>
  <si>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</si>
  <si>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</si>
  <si>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</si>
  <si>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</si>
  <si>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</si>
  <si>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</si>
  <si>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</si>
  <si>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</si>
  <si>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</si>
  <si>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</si>
  <si>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</si>
  <si>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</si>
  <si>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</si>
  <si>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</si>
  <si>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</si>
  <si>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</si>
  <si>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</si>
  <si>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</si>
  <si>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</si>
  <si>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</si>
  <si>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</si>
  <si>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</si>
  <si>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</si>
  <si>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</si>
  <si>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</si>
  <si>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</si>
  <si>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</si>
  <si>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</si>
  <si>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</si>
  <si>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</si>
  <si>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</si>
  <si>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</si>
  <si>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</si>
  <si>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</si>
  <si>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</si>
  <si>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</si>
  <si>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</si>
  <si>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</si>
  <si>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</si>
  <si>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</si>
  <si>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</si>
  <si>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</si>
  <si>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</si>
  <si>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</si>
  <si>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</si>
  <si>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</si>
  <si>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</si>
  <si>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</si>
  <si>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</si>
  <si>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</si>
  <si>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</si>
  <si>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</si>
  <si>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</si>
  <si>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</si>
  <si>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</si>
  <si>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</si>
  <si>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</si>
  <si>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</si>
  <si>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</si>
  <si>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</si>
  <si>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</si>
  <si>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</si>
  <si>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</si>
  <si>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</si>
  <si>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</si>
  <si>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</si>
  <si>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</si>
  <si>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</si>
  <si>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</si>
  <si>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</si>
  <si>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</si>
  <si>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</si>
  <si>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</si>
  <si>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</si>
  <si>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</si>
  <si>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</si>
  <si>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</si>
  <si>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</si>
  <si>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</si>
  <si>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</si>
  <si>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</si>
  <si>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</si>
  <si>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</si>
  <si>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</si>
  <si>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</si>
  <si>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</si>
  <si>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</si>
  <si>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</si>
  <si>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</si>
  <si>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</si>
  <si>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</si>
  <si>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</si>
  <si>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</si>
  <si>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</si>
  <si>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</si>
  <si>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</si>
  <si>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</si>
  <si>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</si>
  <si>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</si>
  <si>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</si>
  <si>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</si>
  <si>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</si>
  <si>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</si>
  <si>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</si>
  <si>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</si>
  <si>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</si>
  <si>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</si>
  <si>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</si>
  <si>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</si>
  <si>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</si>
  <si>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</si>
  <si>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</si>
  <si>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</si>
  <si>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</si>
  <si>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</si>
  <si>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</si>
  <si>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</si>
  <si>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</si>
  <si>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</si>
  <si>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</si>
  <si>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</si>
  <si>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</si>
  <si>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</si>
  <si>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</si>
  <si>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</si>
  <si>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</si>
  <si>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</si>
  <si>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</si>
  <si>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</si>
  <si>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</si>
  <si>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</si>
  <si>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</si>
  <si>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</si>
  <si>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</si>
  <si>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</si>
  <si>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</si>
  <si>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</si>
  <si>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</si>
  <si>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</si>
  <si>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</si>
  <si>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</si>
  <si>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</si>
  <si>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</si>
  <si>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</si>
  <si>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</si>
  <si>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</si>
  <si>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</si>
  <si>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</si>
  <si>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</si>
  <si>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</si>
  <si>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</si>
  <si>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</si>
  <si>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</si>
  <si>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</si>
  <si>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</si>
  <si>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</si>
  <si>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</si>
  <si>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</si>
  <si>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</si>
  <si>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</si>
  <si>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</si>
  <si>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</si>
  <si>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</si>
  <si>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</si>
  <si>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</si>
  <si>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</si>
  <si>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</si>
  <si>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</si>
  <si>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</si>
  <si>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</si>
  <si>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</si>
  <si>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</si>
  <si>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</si>
  <si>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</si>
  <si>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</si>
  <si>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</si>
  <si>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</si>
  <si>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</si>
  <si>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</si>
  <si>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</si>
  <si>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</si>
  <si>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</si>
  <si>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</si>
  <si>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</si>
  <si>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</si>
  <si>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</si>
  <si>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</si>
  <si>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</si>
  <si>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</si>
  <si>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</si>
  <si>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</si>
  <si>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</si>
  <si>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</si>
  <si>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</si>
  <si>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</si>
  <si>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</si>
  <si>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</si>
  <si>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</si>
  <si>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</si>
  <si>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</si>
  <si>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</si>
  <si>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</si>
  <si>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</si>
  <si>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</si>
  <si>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</si>
  <si>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</si>
  <si>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</si>
  <si>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</si>
  <si>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</si>
  <si>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</si>
  <si>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</si>
  <si>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</si>
  <si>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</si>
  <si>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</si>
  <si>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</si>
  <si>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</si>
  <si>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</si>
  <si>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</si>
  <si>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</si>
  <si>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</si>
  <si>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</si>
  <si>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</si>
  <si>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</si>
  <si>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</si>
  <si>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</si>
  <si>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</si>
  <si>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</si>
  <si>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</si>
  <si>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</si>
  <si>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</si>
  <si>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</si>
  <si>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</si>
  <si>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</si>
  <si>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</si>
  <si>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</si>
  <si>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</si>
  <si>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</si>
  <si>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</si>
  <si>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</si>
  <si>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</si>
  <si>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</si>
  <si>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</si>
  <si>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</si>
  <si>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</si>
  <si>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</si>
  <si>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</si>
  <si>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</si>
  <si>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</si>
  <si>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</si>
  <si>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</si>
  <si>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</si>
  <si>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</si>
  <si>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</si>
  <si>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</si>
  <si>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</si>
  <si>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</si>
  <si>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</si>
  <si>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</si>
  <si>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</si>
  <si>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</si>
  <si>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</si>
  <si>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</si>
  <si>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</si>
  <si>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</si>
  <si>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</si>
  <si>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</si>
  <si>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</si>
  <si>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</si>
  <si>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</si>
  <si>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</si>
  <si>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</si>
  <si>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</si>
  <si>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</si>
  <si>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</si>
  <si>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</si>
  <si>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</si>
  <si>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</si>
  <si>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</si>
  <si>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</si>
  <si>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</si>
  <si>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</si>
  <si>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</si>
  <si>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</si>
  <si>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</si>
  <si>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</si>
  <si>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</si>
  <si>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</si>
  <si>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</si>
  <si>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</si>
  <si>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</si>
  <si>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</si>
  <si>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</si>
  <si>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</si>
  <si>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</si>
  <si>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</si>
  <si>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</si>
  <si>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</si>
  <si>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</si>
  <si>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</si>
  <si>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</si>
  <si>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</si>
  <si>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</si>
  <si>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</si>
  <si>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</si>
  <si>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</si>
  <si>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</si>
  <si>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</si>
  <si>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</si>
  <si>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</si>
  <si>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</si>
  <si>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</si>
  <si>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</si>
  <si>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</si>
  <si>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</si>
  <si>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</si>
  <si>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</si>
  <si>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</si>
  <si>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</si>
  <si>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</si>
  <si>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</si>
  <si>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</si>
  <si>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</si>
  <si>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</si>
  <si>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</si>
  <si>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</si>
  <si>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</si>
  <si>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</si>
  <si>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</si>
  <si>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</si>
  <si>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</si>
  <si>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</si>
  <si>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</si>
  <si>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</si>
  <si>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</si>
  <si>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</si>
  <si>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</si>
  <si>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</si>
  <si>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</si>
  <si>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</si>
  <si>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</si>
  <si>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</si>
  <si>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</si>
  <si>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</si>
  <si>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</si>
  <si>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</si>
  <si>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</si>
  <si>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</si>
  <si>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</si>
  <si>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</si>
  <si>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</si>
  <si>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</si>
  <si>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</si>
  <si>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</si>
  <si>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</si>
  <si>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</si>
  <si>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</si>
  <si>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</si>
  <si>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</si>
  <si>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</si>
  <si>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</si>
  <si>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</si>
  <si>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</si>
  <si>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</si>
  <si>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</si>
  <si>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</si>
  <si>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</si>
  <si>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</si>
  <si>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</si>
  <si>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</si>
  <si>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</si>
  <si>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</si>
  <si>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</si>
  <si>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</si>
  <si>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</si>
  <si>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</si>
  <si>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</si>
  <si>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</si>
  <si>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</si>
  <si>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</si>
  <si>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</si>
  <si>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</si>
  <si>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</si>
  <si>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</si>
  <si>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</si>
  <si>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</si>
  <si>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</si>
  <si>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</si>
  <si>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</si>
  <si>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</si>
  <si>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</si>
  <si>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</si>
  <si>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</si>
  <si>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</si>
  <si>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</si>
  <si>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</si>
  <si>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</si>
  <si>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</si>
  <si>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</si>
  <si>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</si>
  <si>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</si>
  <si>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</si>
  <si>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</si>
  <si>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</si>
  <si>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</si>
  <si>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</si>
  <si>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</si>
  <si>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</si>
  <si>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</si>
  <si>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</si>
  <si>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</si>
  <si>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</si>
  <si>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</si>
  <si>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</si>
  <si>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</si>
  <si>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</si>
  <si>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</si>
  <si>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</si>
  <si>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</si>
  <si>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</si>
  <si>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</si>
  <si>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</si>
  <si>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</si>
  <si>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</si>
  <si>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</si>
  <si>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</si>
  <si>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</si>
  <si>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</si>
  <si>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</si>
  <si>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</si>
  <si>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</si>
  <si>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</si>
  <si>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</si>
  <si>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</si>
  <si>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</si>
  <si>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</si>
  <si>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</si>
  <si>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</si>
  <si>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</si>
  <si>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</si>
  <si>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</si>
  <si>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</si>
  <si>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</si>
  <si>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</si>
  <si>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</si>
  <si>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</si>
  <si>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</si>
  <si>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</si>
  <si>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</si>
  <si>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</si>
  <si>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</si>
  <si>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</si>
  <si>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</si>
  <si>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</si>
  <si>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</si>
  <si>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</si>
  <si>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</si>
  <si>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</si>
  <si>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</si>
  <si>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</si>
  <si>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</si>
  <si>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</si>
  <si>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</si>
  <si>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</si>
  <si>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 Group</t>
  </si>
  <si>
    <t>Income Bracket</t>
  </si>
  <si>
    <t>Tenure</t>
  </si>
  <si>
    <t>Customer By Region</t>
  </si>
  <si>
    <t>Row Labels</t>
  </si>
  <si>
    <t>Grand Total</t>
  </si>
  <si>
    <t>Count of CustomerID</t>
  </si>
  <si>
    <t>Column Labels</t>
  </si>
  <si>
    <t>Customer By Gender</t>
  </si>
  <si>
    <t>Customer By Segment</t>
  </si>
  <si>
    <t>Sum of Income</t>
  </si>
  <si>
    <t>Average of Income</t>
  </si>
  <si>
    <t>Average Income By Segment</t>
  </si>
  <si>
    <t>Total Customers</t>
  </si>
  <si>
    <t>Average Income</t>
  </si>
  <si>
    <t>Average Tenure</t>
  </si>
  <si>
    <t>Average of Age</t>
  </si>
  <si>
    <t>Adult</t>
  </si>
  <si>
    <t>Old</t>
  </si>
  <si>
    <t>Teenager</t>
  </si>
  <si>
    <t>Young Adult</t>
  </si>
  <si>
    <t>Sum of income By Segment</t>
  </si>
  <si>
    <t>Average Income By Occupation</t>
  </si>
  <si>
    <t>Average Income By Age group</t>
  </si>
  <si>
    <t>Count By Age group</t>
  </si>
  <si>
    <t>2015</t>
  </si>
  <si>
    <t>2016</t>
  </si>
  <si>
    <t>2017</t>
  </si>
  <si>
    <t>2018</t>
  </si>
  <si>
    <t>2019</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</si>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</sst>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164" formatCode="&quot;$&quot;#,##0"/>
    <numFmt numFmtId="165" formatCode="[&gt;=1000000]&quot;$&quot;0,,&quot;M&quot;;[&gt;=1000]&quot;$&quot;0,\K;0"/>
    <numFmt numFmtId="166" formatCode="[&gt;=1000000]&quot;$&quot;0.0,,&quot;M&quot;;[&gt;=1000]&quot;$&quot;0.0,\K;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AC8C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6" fontId="0" fillId="0" borderId="0" xfId="0" applyNumberForma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6" formatCode="[&gt;=1000000]&quot;$&quot;0.0,,&quot;M&quot;;[&gt;=1000]&quot;$&quot;0.0,\K;0.0"/>
    </dxf>
    <dxf>
      <numFmt numFmtId="166" formatCode="[&gt;=1000000]&quot;$&quot;0.0,,&quot;M&quot;;[&gt;=1000]&quot;$&quot;0.0,\K;0.0"/>
    </dxf>
    <dxf>
      <numFmt numFmtId="165" formatCode="[&gt;=1000000]&quot;$&quot;0,,&quot;M&quot;;[&gt;=1000]&quot;$&quot;0,\K;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166" formatCode="[&gt;=1000000]&quot;$&quot;0.0,,&quot;M&quot;;[&gt;=1000]&quot;$&quot;0.0,\K;0.0"/>
    </dxf>
    <dxf>
      <numFmt numFmtId="0" formatCode="General"/>
    </dxf>
    <dxf>
      <numFmt numFmtId="0" formatCode="General"/>
    </dxf>
    <dxf>
      <numFmt numFmtId="0" formatCode="General"/>
    </dxf>
    <dxf>
      <numFmt numFmtId="19" formatCode="m/d/yyyy"/>
    </dxf>
    <dxf>
      <numFmt numFmtId="30" formatCode="@"/>
    </dxf>
    <dxf>
      <numFmt numFmtId="164" formatCode="&quot;$&quot;#,##0"/>
    </dxf>
    <dxf>
      <numFmt numFmtId="30" formatCode="@"/>
    </dxf>
    <dxf>
      <numFmt numFmtId="30" formatCode="@"/>
    </dxf>
    <dxf>
      <numFmt numFmtId="1" formatCode="0"/>
    </dxf>
    <dxf>
      <numFmt numFmtId="30" formatCode="@"/>
    </dxf>
    <dxf>
      <numFmt numFmtId="30" formatCode="@"/>
    </dxf>
    <dxf>
      <font>
        <b val="0"/>
        <i val="0"/>
        <sz val="11"/>
        <name val="Calibri Light"/>
        <family val="2"/>
        <scheme val="major"/>
      </font>
      <fill>
        <patternFill patternType="solid">
          <fgColor rgb="FF708B8E"/>
          <bgColor theme="1"/>
        </patternFill>
      </fill>
      <border diagonalUp="0" diagonalDown="0">
        <left/>
        <right/>
        <top/>
        <bottom/>
        <vertical/>
        <horizontal/>
      </border>
    </dxf>
  </dxfs>
  <tableStyles count="1" defaultTableStyle="TableStyleMedium2" defaultPivotStyle="PivotStyleLight16">
    <tableStyle name="Slicer Style 1" pivot="0" table="0" count="2" xr9:uid="{00000000-0011-0000-FFFF-FFFF00000000}">
      <tableStyleElement type="wholeTable" dxfId="24"/>
    </tableStyle>
  </tableStyles>
  <colors>
    <mruColors>
      <color rgb="FF708B8E"/>
      <color rgb="FFBAC8C9"/>
      <color rgb="FF4A5C5E"/>
      <color rgb="FF5A7072"/>
      <color rgb="FF001C1F"/>
      <color rgb="FF000D0E"/>
    </mruColors>
  </colors>
  <extLst>
    <ext xmlns:x14="http://schemas.microsoft.com/office/spreadsheetml/2009/9/main" uri="{46F421CA-312F-682f-3DD2-61675219B42D}">
      <x14:dxfs count="1">
        <dxf>
          <font>
            <b/>
            <i val="0"/>
            <sz val="12"/>
            <color rgb="FF708B8E"/>
            <name val="Calibri"/>
            <family val="2"/>
            <scheme val="minor"/>
          </font>
          <fill>
            <patternFill>
              <bgColor theme="2" tint="-9.9948118533890809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Project Completed.xlsx]Pivot Table!PivotTable9</c:name>
    <c:fmtId val="6"/>
  </c:pivotSource>
  <c:chart>
    <c:autoTitleDeleted val="1"/>
    <c:pivotFmts>
      <c:pivotFmt>
        <c:idx val="0"/>
        <c:spPr>
          <a:solidFill>
            <a:srgbClr val="5A7072"/>
          </a:solidFill>
          <a:ln>
            <a:solidFill>
              <a:srgbClr val="4A5C5E"/>
            </a:solidFill>
          </a:ln>
          <a:effectLst/>
          <a:sp3d>
            <a:contourClr>
              <a:srgbClr val="4A5C5E"/>
            </a:contourClr>
          </a:sp3d>
        </c:spPr>
        <c:marker>
          <c:symbol val="none"/>
        </c:marker>
      </c:pivotFmt>
      <c:pivotFmt>
        <c:idx val="1"/>
        <c:spPr>
          <a:solidFill>
            <a:srgbClr val="5A7072"/>
          </a:solidFill>
          <a:ln>
            <a:solidFill>
              <a:srgbClr val="4A5C5E"/>
            </a:solidFill>
          </a:ln>
          <a:effectLst/>
          <a:sp3d>
            <a:contourClr>
              <a:srgbClr val="4A5C5E"/>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7072"/>
          </a:solidFill>
          <a:ln>
            <a:solidFill>
              <a:srgbClr val="4A5C5E"/>
            </a:solidFill>
          </a:ln>
          <a:effectLst/>
          <a:sp3d>
            <a:contourClr>
              <a:srgbClr val="4A5C5E"/>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488808002773241"/>
          <c:y val="9.154929577464789E-2"/>
          <c:w val="0.71253330362006639"/>
          <c:h val="0.84507042253521125"/>
        </c:manualLayout>
      </c:layout>
      <c:bar3DChart>
        <c:barDir val="bar"/>
        <c:grouping val="clustered"/>
        <c:varyColors val="0"/>
        <c:ser>
          <c:idx val="0"/>
          <c:order val="0"/>
          <c:tx>
            <c:strRef>
              <c:f>'Pivot Table'!$P$2</c:f>
              <c:strCache>
                <c:ptCount val="1"/>
                <c:pt idx="0">
                  <c:v>Total</c:v>
                </c:pt>
              </c:strCache>
            </c:strRef>
          </c:tx>
          <c:spPr>
            <a:solidFill>
              <a:srgbClr val="5A7072"/>
            </a:solidFill>
            <a:ln>
              <a:solidFill>
                <a:srgbClr val="4A5C5E"/>
              </a:solidFill>
            </a:ln>
            <a:effectLst/>
            <a:sp3d>
              <a:contourClr>
                <a:srgbClr val="4A5C5E"/>
              </a:contourClr>
            </a:sp3d>
          </c:spPr>
          <c:invertIfNegative val="0"/>
          <c:cat>
            <c:strRef>
              <c:f>'Pivot Table'!$O$3:$O$8</c:f>
              <c:strCache>
                <c:ptCount val="5"/>
                <c:pt idx="0">
                  <c:v>Christina Wood</c:v>
                </c:pt>
                <c:pt idx="1">
                  <c:v>Jason Johnson</c:v>
                </c:pt>
                <c:pt idx="2">
                  <c:v>Kelsey Rodriguez</c:v>
                </c:pt>
                <c:pt idx="3">
                  <c:v>Sharon Chapman</c:v>
                </c:pt>
                <c:pt idx="4">
                  <c:v>Tina Adams</c:v>
                </c:pt>
              </c:strCache>
            </c:strRef>
          </c:cat>
          <c:val>
            <c:numRef>
              <c:f>'Pivot Table'!$P$3:$P$8</c:f>
              <c:numCache>
                <c:formatCode>[&gt;=1000000]"$"0.0,,"M";[&gt;=1000]"$"0.0,\K;0.0</c:formatCode>
                <c:ptCount val="5"/>
                <c:pt idx="0">
                  <c:v>193279</c:v>
                </c:pt>
                <c:pt idx="1">
                  <c:v>195485</c:v>
                </c:pt>
                <c:pt idx="2">
                  <c:v>199436</c:v>
                </c:pt>
                <c:pt idx="3">
                  <c:v>190413</c:v>
                </c:pt>
                <c:pt idx="4">
                  <c:v>196422</c:v>
                </c:pt>
              </c:numCache>
            </c:numRef>
          </c:val>
          <c:shape val="coneToMax"/>
          <c:extLst>
            <c:ext xmlns:c16="http://schemas.microsoft.com/office/drawing/2014/chart" uri="{C3380CC4-5D6E-409C-BE32-E72D297353CC}">
              <c16:uniqueId val="{00000000-B97E-4637-A081-6312E0A2E8D7}"/>
            </c:ext>
          </c:extLst>
        </c:ser>
        <c:dLbls>
          <c:showLegendKey val="0"/>
          <c:showVal val="0"/>
          <c:showCatName val="0"/>
          <c:showSerName val="0"/>
          <c:showPercent val="0"/>
          <c:showBubbleSize val="0"/>
        </c:dLbls>
        <c:gapWidth val="198"/>
        <c:gapDepth val="69"/>
        <c:shape val="box"/>
        <c:axId val="1538778111"/>
        <c:axId val="1538793503"/>
        <c:axId val="0"/>
      </c:bar3DChart>
      <c:catAx>
        <c:axId val="15387781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93503"/>
        <c:crosses val="autoZero"/>
        <c:auto val="1"/>
        <c:lblAlgn val="ctr"/>
        <c:lblOffset val="100"/>
        <c:noMultiLvlLbl val="0"/>
      </c:catAx>
      <c:valAx>
        <c:axId val="1538793503"/>
        <c:scaling>
          <c:orientation val="minMax"/>
        </c:scaling>
        <c:delete val="1"/>
        <c:axPos val="b"/>
        <c:numFmt formatCode="[&gt;=1000000]&quot;$&quot;0.0,,&quot;M&quot;;[&gt;=1000]&quot;$&quot;0.0,\K;0.0" sourceLinked="1"/>
        <c:majorTickMark val="out"/>
        <c:minorTickMark val="none"/>
        <c:tickLblPos val="nextTo"/>
        <c:crossAx val="1538778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Project Completed.xlsx]Pivot Table!PivotTable10</c:name>
    <c:fmtId val="4"/>
  </c:pivotSource>
  <c:chart>
    <c:autoTitleDeleted val="1"/>
    <c:pivotFmts>
      <c:pivotFmt>
        <c:idx val="0"/>
        <c:spPr>
          <a:solidFill>
            <a:schemeClr val="accent1"/>
          </a:solidFill>
          <a:ln w="28575" cap="rnd">
            <a:solidFill>
              <a:srgbClr val="5A7072"/>
            </a:solidFill>
            <a:round/>
          </a:ln>
          <a:effectLst/>
        </c:spPr>
        <c:marker>
          <c:symbol val="none"/>
        </c:marker>
      </c:pivotFmt>
      <c:pivotFmt>
        <c:idx val="1"/>
        <c:spPr>
          <a:solidFill>
            <a:schemeClr val="accent1"/>
          </a:solidFill>
          <a:ln w="28575" cap="rnd">
            <a:solidFill>
              <a:srgbClr val="5A707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A707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2912513387892"/>
          <c:y val="6.6541361208987945E-2"/>
          <c:w val="0.85968640522309736"/>
          <c:h val="0.82168042909883987"/>
        </c:manualLayout>
      </c:layout>
      <c:lineChart>
        <c:grouping val="stacked"/>
        <c:varyColors val="0"/>
        <c:ser>
          <c:idx val="0"/>
          <c:order val="0"/>
          <c:tx>
            <c:strRef>
              <c:f>'Pivot Table'!$P$12</c:f>
              <c:strCache>
                <c:ptCount val="1"/>
                <c:pt idx="0">
                  <c:v>Total</c:v>
                </c:pt>
              </c:strCache>
            </c:strRef>
          </c:tx>
          <c:spPr>
            <a:ln w="28575" cap="rnd">
              <a:solidFill>
                <a:srgbClr val="5A7072"/>
              </a:solidFill>
              <a:round/>
            </a:ln>
            <a:effectLst/>
          </c:spPr>
          <c:marker>
            <c:symbol val="none"/>
          </c:marker>
          <c:cat>
            <c:strRef>
              <c:f>'Pivot Table'!$O$13:$O$24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Table'!$P$13:$P$24</c:f>
              <c:numCache>
                <c:formatCode>[&gt;=1000000]"$"0.0,,"M";[&gt;=1000]"$"0.0,\K;0.0</c:formatCode>
                <c:ptCount val="11"/>
                <c:pt idx="0">
                  <c:v>290444</c:v>
                </c:pt>
                <c:pt idx="1">
                  <c:v>588813</c:v>
                </c:pt>
                <c:pt idx="2">
                  <c:v>1176719</c:v>
                </c:pt>
                <c:pt idx="3">
                  <c:v>432751</c:v>
                </c:pt>
                <c:pt idx="4">
                  <c:v>772099</c:v>
                </c:pt>
                <c:pt idx="5">
                  <c:v>476893</c:v>
                </c:pt>
                <c:pt idx="6">
                  <c:v>597819</c:v>
                </c:pt>
                <c:pt idx="7">
                  <c:v>352089</c:v>
                </c:pt>
                <c:pt idx="8">
                  <c:v>87649</c:v>
                </c:pt>
                <c:pt idx="9">
                  <c:v>261409</c:v>
                </c:pt>
                <c:pt idx="10">
                  <c:v>308153</c:v>
                </c:pt>
              </c:numCache>
            </c:numRef>
          </c:val>
          <c:smooth val="0"/>
          <c:extLst>
            <c:ext xmlns:c16="http://schemas.microsoft.com/office/drawing/2014/chart" uri="{C3380CC4-5D6E-409C-BE32-E72D297353CC}">
              <c16:uniqueId val="{00000000-0394-4D35-86AE-4106267612E2}"/>
            </c:ext>
          </c:extLst>
        </c:ser>
        <c:dLbls>
          <c:showLegendKey val="0"/>
          <c:showVal val="0"/>
          <c:showCatName val="0"/>
          <c:showSerName val="0"/>
          <c:showPercent val="0"/>
          <c:showBubbleSize val="0"/>
        </c:dLbls>
        <c:smooth val="0"/>
        <c:axId val="1538791007"/>
        <c:axId val="1538782271"/>
      </c:lineChart>
      <c:catAx>
        <c:axId val="15387910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82271"/>
        <c:crosses val="autoZero"/>
        <c:auto val="1"/>
        <c:lblAlgn val="ctr"/>
        <c:lblOffset val="100"/>
        <c:noMultiLvlLbl val="0"/>
      </c:catAx>
      <c:valAx>
        <c:axId val="1538782271"/>
        <c:scaling>
          <c:orientation val="minMax"/>
        </c:scaling>
        <c:delete val="0"/>
        <c:axPos val="l"/>
        <c:numFmt formatCode="[&gt;=1000000]&quot;$&quot;0.0,,&quot;M&quot;;[&gt;=1000]&quot;$&quot;0.0,\K;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7910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Project Completed.xlsx]Pivot Table!PivotTable3</c:name>
    <c:fmtId val="2"/>
  </c:pivotSource>
  <c:chart>
    <c:autoTitleDeleted val="0"/>
    <c:pivotFmts>
      <c:pivotFmt>
        <c:idx val="0"/>
        <c:spPr>
          <a:solidFill>
            <a:srgbClr val="4A5C5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8B8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A5C5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8B8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A5C5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8B8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Table'!$B$27:$B$28</c:f>
              <c:strCache>
                <c:ptCount val="1"/>
                <c:pt idx="0">
                  <c:v>Female</c:v>
                </c:pt>
              </c:strCache>
            </c:strRef>
          </c:tx>
          <c:spPr>
            <a:solidFill>
              <a:srgbClr val="4A5C5E"/>
            </a:solidFill>
            <a:ln>
              <a:noFill/>
            </a:ln>
            <a:effectLst/>
            <a:sp3d/>
          </c:spPr>
          <c:invertIfNegative val="0"/>
          <c:cat>
            <c:strRef>
              <c:f>'Pivot Table'!$A$29:$A$30</c:f>
              <c:strCache>
                <c:ptCount val="1"/>
                <c:pt idx="0">
                  <c:v>Private</c:v>
                </c:pt>
              </c:strCache>
            </c:strRef>
          </c:cat>
          <c:val>
            <c:numRef>
              <c:f>'Pivot Table'!$B$29:$B$30</c:f>
              <c:numCache>
                <c:formatCode>General</c:formatCode>
                <c:ptCount val="1"/>
                <c:pt idx="0">
                  <c:v>20</c:v>
                </c:pt>
              </c:numCache>
            </c:numRef>
          </c:val>
          <c:extLst>
            <c:ext xmlns:c16="http://schemas.microsoft.com/office/drawing/2014/chart" uri="{C3380CC4-5D6E-409C-BE32-E72D297353CC}">
              <c16:uniqueId val="{00000000-1053-4389-9885-2B9B11C4058F}"/>
            </c:ext>
          </c:extLst>
        </c:ser>
        <c:ser>
          <c:idx val="1"/>
          <c:order val="1"/>
          <c:tx>
            <c:strRef>
              <c:f>'Pivot Table'!$C$27:$C$28</c:f>
              <c:strCache>
                <c:ptCount val="1"/>
                <c:pt idx="0">
                  <c:v>Male</c:v>
                </c:pt>
              </c:strCache>
            </c:strRef>
          </c:tx>
          <c:spPr>
            <a:solidFill>
              <a:srgbClr val="708B8E"/>
            </a:solidFill>
            <a:ln>
              <a:noFill/>
            </a:ln>
            <a:effectLst/>
            <a:sp3d/>
          </c:spPr>
          <c:invertIfNegative val="0"/>
          <c:cat>
            <c:strRef>
              <c:f>'Pivot Table'!$A$29:$A$30</c:f>
              <c:strCache>
                <c:ptCount val="1"/>
                <c:pt idx="0">
                  <c:v>Private</c:v>
                </c:pt>
              </c:strCache>
            </c:strRef>
          </c:cat>
          <c:val>
            <c:numRef>
              <c:f>'Pivot Table'!$C$29:$C$30</c:f>
              <c:numCache>
                <c:formatCode>General</c:formatCode>
                <c:ptCount val="1"/>
                <c:pt idx="0">
                  <c:v>25</c:v>
                </c:pt>
              </c:numCache>
            </c:numRef>
          </c:val>
          <c:shape val="pyramidToMax"/>
          <c:extLst>
            <c:ext xmlns:c16="http://schemas.microsoft.com/office/drawing/2014/chart" uri="{C3380CC4-5D6E-409C-BE32-E72D297353CC}">
              <c16:uniqueId val="{00000001-1053-4389-9885-2B9B11C4058F}"/>
            </c:ext>
          </c:extLst>
        </c:ser>
        <c:dLbls>
          <c:showLegendKey val="0"/>
          <c:showVal val="0"/>
          <c:showCatName val="0"/>
          <c:showSerName val="0"/>
          <c:showPercent val="0"/>
          <c:showBubbleSize val="0"/>
        </c:dLbls>
        <c:gapWidth val="131"/>
        <c:gapDepth val="250"/>
        <c:shape val="box"/>
        <c:axId val="1966454463"/>
        <c:axId val="1966449471"/>
        <c:axId val="0"/>
      </c:bar3DChart>
      <c:catAx>
        <c:axId val="1966454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449471"/>
        <c:crosses val="autoZero"/>
        <c:auto val="1"/>
        <c:lblAlgn val="ctr"/>
        <c:lblOffset val="100"/>
        <c:noMultiLvlLbl val="0"/>
      </c:catAx>
      <c:valAx>
        <c:axId val="1966449471"/>
        <c:scaling>
          <c:orientation val="minMax"/>
        </c:scaling>
        <c:delete val="1"/>
        <c:axPos val="l"/>
        <c:numFmt formatCode="General" sourceLinked="1"/>
        <c:majorTickMark val="out"/>
        <c:minorTickMark val="none"/>
        <c:tickLblPos val="nextTo"/>
        <c:crossAx val="196645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Project Completed.xlsx]Pivot Table!PivotTable1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5A7072"/>
          </a:solidFill>
          <a:ln w="25400">
            <a:noFill/>
          </a:ln>
          <a:effectLst/>
          <a:sp3d/>
        </c:spPr>
      </c:pivotFmt>
      <c:pivotFmt>
        <c:idx val="2"/>
        <c:spPr>
          <a:solidFill>
            <a:srgbClr val="BAC8C9"/>
          </a:solidFill>
          <a:ln w="25400">
            <a:noFill/>
          </a:ln>
          <a:effectLst/>
          <a:sp3d/>
        </c:spPr>
      </c:pivotFmt>
      <c:pivotFmt>
        <c:idx val="3"/>
        <c:spPr>
          <a:solidFill>
            <a:schemeClr val="bg2">
              <a:lumMod val="50000"/>
            </a:schemeClr>
          </a:solidFill>
          <a:ln w="25400">
            <a:noFill/>
          </a:ln>
          <a:effectLst/>
          <a:sp3d/>
        </c:spPr>
      </c:pivotFmt>
      <c:pivotFmt>
        <c:idx val="4"/>
        <c:spPr>
          <a:solidFill>
            <a:schemeClr val="accent1"/>
          </a:solidFill>
          <a:ln w="25400">
            <a:noFill/>
          </a:ln>
          <a:effectLst/>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5A7072"/>
          </a:solidFill>
          <a:ln w="25400">
            <a:noFill/>
          </a:ln>
          <a:effectLst/>
          <a:sp3d/>
        </c:spPr>
      </c:pivotFmt>
      <c:pivotFmt>
        <c:idx val="7"/>
        <c:spPr>
          <a:solidFill>
            <a:srgbClr val="BAC8C9"/>
          </a:solidFill>
          <a:ln w="25400">
            <a:noFill/>
          </a:ln>
          <a:effectLst/>
          <a:sp3d/>
        </c:spPr>
      </c:pivotFmt>
      <c:pivotFmt>
        <c:idx val="8"/>
        <c:spPr>
          <a:solidFill>
            <a:schemeClr val="accent1"/>
          </a:solidFill>
          <a:ln w="25400">
            <a:noFill/>
          </a:ln>
          <a:effectLst/>
          <a:sp3d/>
        </c:spPr>
      </c:pivotFmt>
      <c:pivotFmt>
        <c:idx val="9"/>
        <c:spPr>
          <a:solidFill>
            <a:schemeClr val="bg2">
              <a:lumMod val="50000"/>
            </a:schemeClr>
          </a:solidFill>
          <a:ln w="25400">
            <a:noFill/>
          </a:ln>
          <a:effectLst/>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5A7072"/>
          </a:solidFill>
          <a:ln w="25400">
            <a:noFill/>
          </a:ln>
          <a:effectLst/>
          <a:sp3d/>
        </c:spPr>
      </c:pivotFmt>
      <c:pivotFmt>
        <c:idx val="12"/>
        <c:spPr>
          <a:solidFill>
            <a:srgbClr val="BAC8C9"/>
          </a:solidFill>
          <a:ln w="25400">
            <a:noFill/>
          </a:ln>
          <a:effectLst/>
          <a:sp3d/>
        </c:spPr>
      </c:pivotFmt>
      <c:pivotFmt>
        <c:idx val="13"/>
        <c:spPr>
          <a:solidFill>
            <a:schemeClr val="accent1"/>
          </a:solidFill>
          <a:ln w="25400">
            <a:noFill/>
          </a:ln>
          <a:effectLst/>
          <a:sp3d/>
        </c:spPr>
      </c:pivotFmt>
      <c:pivotFmt>
        <c:idx val="14"/>
        <c:spPr>
          <a:solidFill>
            <a:schemeClr val="bg2">
              <a:lumMod val="50000"/>
            </a:schemeClr>
          </a:solidFill>
          <a:ln w="25400">
            <a:noFill/>
          </a:ln>
          <a:effectLst/>
          <a:sp3d/>
        </c:spPr>
      </c:pivotFmt>
    </c:pivotFmts>
    <c:view3D>
      <c:rotX val="30"/>
      <c:rotY val="3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explosion val="54"/>
            <c:spPr>
              <a:solidFill>
                <a:srgbClr val="5A7072"/>
              </a:solidFill>
              <a:ln w="25400">
                <a:noFill/>
              </a:ln>
              <a:effectLst/>
              <a:sp3d/>
            </c:spPr>
            <c:extLst>
              <c:ext xmlns:c16="http://schemas.microsoft.com/office/drawing/2014/chart" uri="{C3380CC4-5D6E-409C-BE32-E72D297353CC}">
                <c16:uniqueId val="{00000001-11CE-46E0-8023-A23CF40958DC}"/>
              </c:ext>
            </c:extLst>
          </c:dPt>
          <c:dPt>
            <c:idx val="1"/>
            <c:bubble3D val="0"/>
            <c:explosion val="93"/>
            <c:spPr>
              <a:solidFill>
                <a:srgbClr val="BAC8C9"/>
              </a:solidFill>
              <a:ln w="25400">
                <a:noFill/>
              </a:ln>
              <a:effectLst/>
              <a:sp3d/>
            </c:spPr>
            <c:extLst>
              <c:ext xmlns:c16="http://schemas.microsoft.com/office/drawing/2014/chart" uri="{C3380CC4-5D6E-409C-BE32-E72D297353CC}">
                <c16:uniqueId val="{00000003-11CE-46E0-8023-A23CF40958DC}"/>
              </c:ext>
            </c:extLst>
          </c:dPt>
          <c:dPt>
            <c:idx val="2"/>
            <c:bubble3D val="0"/>
            <c:explosion val="40"/>
            <c:spPr>
              <a:solidFill>
                <a:schemeClr val="accent3"/>
              </a:solidFill>
              <a:ln w="25400">
                <a:noFill/>
              </a:ln>
              <a:effectLst/>
              <a:sp3d/>
            </c:spPr>
            <c:extLst>
              <c:ext xmlns:c16="http://schemas.microsoft.com/office/drawing/2014/chart" uri="{C3380CC4-5D6E-409C-BE32-E72D297353CC}">
                <c16:uniqueId val="{00000005-11CE-46E0-8023-A23CF40958DC}"/>
              </c:ext>
            </c:extLst>
          </c:dPt>
          <c:dPt>
            <c:idx val="3"/>
            <c:bubble3D val="0"/>
            <c:explosion val="48"/>
            <c:spPr>
              <a:solidFill>
                <a:schemeClr val="bg2">
                  <a:lumMod val="50000"/>
                </a:schemeClr>
              </a:solidFill>
              <a:ln w="25400">
                <a:noFill/>
              </a:ln>
              <a:effectLst/>
              <a:sp3d/>
            </c:spPr>
            <c:extLst>
              <c:ext xmlns:c16="http://schemas.microsoft.com/office/drawing/2014/chart" uri="{C3380CC4-5D6E-409C-BE32-E72D297353CC}">
                <c16:uniqueId val="{00000007-11CE-46E0-8023-A23CF40958DC}"/>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10</c:v>
                </c:pt>
                <c:pt idx="1">
                  <c:v>8</c:v>
                </c:pt>
                <c:pt idx="2">
                  <c:v>16</c:v>
                </c:pt>
                <c:pt idx="3">
                  <c:v>11</c:v>
                </c:pt>
              </c:numCache>
            </c:numRef>
          </c:val>
          <c:extLst>
            <c:ext xmlns:c16="http://schemas.microsoft.com/office/drawing/2014/chart" uri="{C3380CC4-5D6E-409C-BE32-E72D297353CC}">
              <c16:uniqueId val="{00000008-11CE-46E0-8023-A23CF40958DC}"/>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customersssssss!A1"/><Relationship Id="rId6" Type="http://schemas.openxmlformats.org/officeDocument/2006/relationships/image" Target="../media/image3.png"/><Relationship Id="rId5" Type="http://schemas.openxmlformats.org/officeDocument/2006/relationships/hyperlink" Target="#'Pivot Table'!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customersssssss!A1"/><Relationship Id="rId6" Type="http://schemas.openxmlformats.org/officeDocument/2006/relationships/image" Target="../media/image3.png"/><Relationship Id="rId5" Type="http://schemas.openxmlformats.org/officeDocument/2006/relationships/hyperlink" Target="#'Pivot Table'!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hyperlink" Target="#customersssssss!A1"/><Relationship Id="rId1" Type="http://schemas.openxmlformats.org/officeDocument/2006/relationships/image" Target="../media/image4.png"/><Relationship Id="rId6" Type="http://schemas.openxmlformats.org/officeDocument/2006/relationships/hyperlink" Target="#'Pivot Table'!A1"/><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openxmlformats.org/officeDocument/2006/relationships/hyperlink" Target="#Dashboard!A1"/><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11</xdr:col>
      <xdr:colOff>238204</xdr:colOff>
      <xdr:row>18</xdr:row>
      <xdr:rowOff>19050</xdr:rowOff>
    </xdr:from>
    <xdr:to>
      <xdr:col>11</xdr:col>
      <xdr:colOff>810502</xdr:colOff>
      <xdr:row>20</xdr:row>
      <xdr:rowOff>108721</xdr:rowOff>
    </xdr:to>
    <xdr:pic>
      <xdr:nvPicPr>
        <xdr:cNvPr id="3" name="Picture 2">
          <a:hlinkClick xmlns:r="http://schemas.openxmlformats.org/officeDocument/2006/relationships" r:id="rId1"/>
          <a:extLst>
            <a:ext uri="{FF2B5EF4-FFF2-40B4-BE49-F238E27FC236}">
              <a16:creationId xmlns:a16="http://schemas.microsoft.com/office/drawing/2014/main" id="{4C9ACD32-6113-429B-B700-E4D988874FF2}"/>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12514871" y="3264606"/>
          <a:ext cx="573204" cy="450288"/>
        </a:xfrm>
        <a:prstGeom prst="rect">
          <a:avLst/>
        </a:prstGeom>
      </xdr:spPr>
    </xdr:pic>
    <xdr:clientData/>
  </xdr:twoCellAnchor>
  <xdr:twoCellAnchor editAs="oneCell">
    <xdr:from>
      <xdr:col>13</xdr:col>
      <xdr:colOff>591050</xdr:colOff>
      <xdr:row>18</xdr:row>
      <xdr:rowOff>44451</xdr:rowOff>
    </xdr:from>
    <xdr:to>
      <xdr:col>14</xdr:col>
      <xdr:colOff>557152</xdr:colOff>
      <xdr:row>20</xdr:row>
      <xdr:rowOff>129421</xdr:rowOff>
    </xdr:to>
    <xdr:pic>
      <xdr:nvPicPr>
        <xdr:cNvPr id="4" name="Picture 3">
          <a:hlinkClick xmlns:r="http://schemas.openxmlformats.org/officeDocument/2006/relationships" r:id="rId3"/>
          <a:extLst>
            <a:ext uri="{FF2B5EF4-FFF2-40B4-BE49-F238E27FC236}">
              <a16:creationId xmlns:a16="http://schemas.microsoft.com/office/drawing/2014/main" id="{DFF7AFE6-0697-4306-84F0-AF99C6395D73}"/>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4090680" y="3290007"/>
          <a:ext cx="577584" cy="445587"/>
        </a:xfrm>
        <a:prstGeom prst="rect">
          <a:avLst/>
        </a:prstGeom>
      </xdr:spPr>
    </xdr:pic>
    <xdr:clientData/>
  </xdr:twoCellAnchor>
  <xdr:twoCellAnchor editAs="oneCell">
    <xdr:from>
      <xdr:col>16</xdr:col>
      <xdr:colOff>386468</xdr:colOff>
      <xdr:row>18</xdr:row>
      <xdr:rowOff>63958</xdr:rowOff>
    </xdr:from>
    <xdr:to>
      <xdr:col>17</xdr:col>
      <xdr:colOff>231490</xdr:colOff>
      <xdr:row>20</xdr:row>
      <xdr:rowOff>87734</xdr:rowOff>
    </xdr:to>
    <xdr:pic>
      <xdr:nvPicPr>
        <xdr:cNvPr id="5" name="Picture 4">
          <a:hlinkClick xmlns:r="http://schemas.openxmlformats.org/officeDocument/2006/relationships" r:id="rId5"/>
          <a:extLst>
            <a:ext uri="{FF2B5EF4-FFF2-40B4-BE49-F238E27FC236}">
              <a16:creationId xmlns:a16="http://schemas.microsoft.com/office/drawing/2014/main" id="{03C47A8A-2762-49E3-9A1D-671D4D09FB0E}"/>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15720542" y="3309514"/>
          <a:ext cx="456504" cy="384393"/>
        </a:xfrm>
        <a:prstGeom prst="rect">
          <a:avLst/>
        </a:prstGeom>
      </xdr:spPr>
    </xdr:pic>
    <xdr:clientData/>
  </xdr:twoCellAnchor>
  <xdr:twoCellAnchor>
    <xdr:from>
      <xdr:col>17</xdr:col>
      <xdr:colOff>266544</xdr:colOff>
      <xdr:row>2</xdr:row>
      <xdr:rowOff>164630</xdr:rowOff>
    </xdr:from>
    <xdr:to>
      <xdr:col>24</xdr:col>
      <xdr:colOff>32601</xdr:colOff>
      <xdr:row>5</xdr:row>
      <xdr:rowOff>108218</xdr:rowOff>
    </xdr:to>
    <xdr:sp macro="" textlink="">
      <xdr:nvSpPr>
        <xdr:cNvPr id="6" name="TextBox 5">
          <a:extLst>
            <a:ext uri="{FF2B5EF4-FFF2-40B4-BE49-F238E27FC236}">
              <a16:creationId xmlns:a16="http://schemas.microsoft.com/office/drawing/2014/main" id="{BCF4640B-493A-4737-A957-F6E9A55D863A}"/>
            </a:ext>
          </a:extLst>
        </xdr:cNvPr>
        <xdr:cNvSpPr txBox="1"/>
      </xdr:nvSpPr>
      <xdr:spPr>
        <a:xfrm>
          <a:off x="14800988" y="525247"/>
          <a:ext cx="4046428" cy="484514"/>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editAs="oneCell">
    <xdr:from>
      <xdr:col>17</xdr:col>
      <xdr:colOff>504748</xdr:colOff>
      <xdr:row>3</xdr:row>
      <xdr:rowOff>3371</xdr:rowOff>
    </xdr:from>
    <xdr:to>
      <xdr:col>18</xdr:col>
      <xdr:colOff>466471</xdr:colOff>
      <xdr:row>5</xdr:row>
      <xdr:rowOff>93042</xdr:rowOff>
    </xdr:to>
    <xdr:pic>
      <xdr:nvPicPr>
        <xdr:cNvPr id="7" name="Picture 6">
          <a:hlinkClick xmlns:r="http://schemas.openxmlformats.org/officeDocument/2006/relationships" r:id="rId1"/>
          <a:extLst>
            <a:ext uri="{FF2B5EF4-FFF2-40B4-BE49-F238E27FC236}">
              <a16:creationId xmlns:a16="http://schemas.microsoft.com/office/drawing/2014/main" id="{14022C93-4224-47E4-8063-06991DD8132C}"/>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15039192" y="544297"/>
          <a:ext cx="573204" cy="450288"/>
        </a:xfrm>
        <a:prstGeom prst="rect">
          <a:avLst/>
        </a:prstGeom>
      </xdr:spPr>
    </xdr:pic>
    <xdr:clientData/>
  </xdr:twoCellAnchor>
  <xdr:twoCellAnchor editAs="oneCell">
    <xdr:from>
      <xdr:col>20</xdr:col>
      <xdr:colOff>246112</xdr:colOff>
      <xdr:row>3</xdr:row>
      <xdr:rowOff>28772</xdr:rowOff>
    </xdr:from>
    <xdr:to>
      <xdr:col>21</xdr:col>
      <xdr:colOff>212214</xdr:colOff>
      <xdr:row>5</xdr:row>
      <xdr:rowOff>113742</xdr:rowOff>
    </xdr:to>
    <xdr:pic>
      <xdr:nvPicPr>
        <xdr:cNvPr id="8" name="Picture 7">
          <a:hlinkClick xmlns:r="http://schemas.openxmlformats.org/officeDocument/2006/relationships" r:id="rId3"/>
          <a:extLst>
            <a:ext uri="{FF2B5EF4-FFF2-40B4-BE49-F238E27FC236}">
              <a16:creationId xmlns:a16="http://schemas.microsoft.com/office/drawing/2014/main" id="{831D6B5A-CCCE-44C0-AEDE-9FE9905BDF2A}"/>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6615001" y="569698"/>
          <a:ext cx="577584" cy="445587"/>
        </a:xfrm>
        <a:prstGeom prst="rect">
          <a:avLst/>
        </a:prstGeom>
      </xdr:spPr>
    </xdr:pic>
    <xdr:clientData/>
  </xdr:twoCellAnchor>
  <xdr:twoCellAnchor editAs="oneCell">
    <xdr:from>
      <xdr:col>23</xdr:col>
      <xdr:colOff>41530</xdr:colOff>
      <xdr:row>3</xdr:row>
      <xdr:rowOff>48279</xdr:rowOff>
    </xdr:from>
    <xdr:to>
      <xdr:col>23</xdr:col>
      <xdr:colOff>498034</xdr:colOff>
      <xdr:row>5</xdr:row>
      <xdr:rowOff>72055</xdr:rowOff>
    </xdr:to>
    <xdr:pic>
      <xdr:nvPicPr>
        <xdr:cNvPr id="9" name="Picture 8">
          <a:hlinkClick xmlns:r="http://schemas.openxmlformats.org/officeDocument/2006/relationships" r:id="rId5"/>
          <a:extLst>
            <a:ext uri="{FF2B5EF4-FFF2-40B4-BE49-F238E27FC236}">
              <a16:creationId xmlns:a16="http://schemas.microsoft.com/office/drawing/2014/main" id="{205139AA-1487-4691-ABF0-ED6D36A0F35E}"/>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18244863" y="589205"/>
          <a:ext cx="456504" cy="3843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2</xdr:row>
      <xdr:rowOff>0</xdr:rowOff>
    </xdr:from>
    <xdr:to>
      <xdr:col>24</xdr:col>
      <xdr:colOff>382967</xdr:colOff>
      <xdr:row>4</xdr:row>
      <xdr:rowOff>110027</xdr:rowOff>
    </xdr:to>
    <xdr:sp macro="" textlink="">
      <xdr:nvSpPr>
        <xdr:cNvPr id="13" name="TextBox 12">
          <a:extLst>
            <a:ext uri="{FF2B5EF4-FFF2-40B4-BE49-F238E27FC236}">
              <a16:creationId xmlns:a16="http://schemas.microsoft.com/office/drawing/2014/main" id="{69E3419C-52C8-48F8-9A4E-26736B910BCD}"/>
            </a:ext>
          </a:extLst>
        </xdr:cNvPr>
        <xdr:cNvSpPr txBox="1"/>
      </xdr:nvSpPr>
      <xdr:spPr>
        <a:xfrm>
          <a:off x="14629423" y="374487"/>
          <a:ext cx="4046429" cy="484514"/>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editAs="oneCell">
    <xdr:from>
      <xdr:col>18</xdr:col>
      <xdr:colOff>238204</xdr:colOff>
      <xdr:row>2</xdr:row>
      <xdr:rowOff>19050</xdr:rowOff>
    </xdr:from>
    <xdr:to>
      <xdr:col>19</xdr:col>
      <xdr:colOff>200832</xdr:colOff>
      <xdr:row>4</xdr:row>
      <xdr:rowOff>94851</xdr:rowOff>
    </xdr:to>
    <xdr:pic>
      <xdr:nvPicPr>
        <xdr:cNvPr id="14" name="Picture 13">
          <a:hlinkClick xmlns:r="http://schemas.openxmlformats.org/officeDocument/2006/relationships" r:id="rId1"/>
          <a:extLst>
            <a:ext uri="{FF2B5EF4-FFF2-40B4-BE49-F238E27FC236}">
              <a16:creationId xmlns:a16="http://schemas.microsoft.com/office/drawing/2014/main" id="{CCBA39EF-D5CF-4524-A5C4-3E261D49134A}"/>
            </a:ext>
          </a:extLst>
        </xdr:cNvPr>
        <xdr:cNvPicPr>
          <a:picLocks noChangeAspect="1"/>
        </xdr:cNvPicPr>
      </xdr:nvPicPr>
      <xdr:blipFill>
        <a:blip xmlns:r="http://schemas.openxmlformats.org/officeDocument/2006/relationships" r:embed="rId2">
          <a:alphaModFix amt="70000"/>
          <a:extLst>
            <a:ext uri="{28A0092B-C50C-407E-A947-70E740481C1C}">
              <a14:useLocalDpi xmlns:a14="http://schemas.microsoft.com/office/drawing/2010/main" val="0"/>
            </a:ext>
          </a:extLst>
        </a:blip>
        <a:stretch>
          <a:fillRect/>
        </a:stretch>
      </xdr:blipFill>
      <xdr:spPr>
        <a:xfrm>
          <a:off x="14867627" y="393537"/>
          <a:ext cx="573204" cy="450288"/>
        </a:xfrm>
        <a:prstGeom prst="rect">
          <a:avLst/>
        </a:prstGeom>
      </xdr:spPr>
    </xdr:pic>
    <xdr:clientData/>
  </xdr:twoCellAnchor>
  <xdr:twoCellAnchor editAs="oneCell">
    <xdr:from>
      <xdr:col>20</xdr:col>
      <xdr:colOff>592859</xdr:colOff>
      <xdr:row>2</xdr:row>
      <xdr:rowOff>44451</xdr:rowOff>
    </xdr:from>
    <xdr:to>
      <xdr:col>21</xdr:col>
      <xdr:colOff>559866</xdr:colOff>
      <xdr:row>4</xdr:row>
      <xdr:rowOff>115551</xdr:rowOff>
    </xdr:to>
    <xdr:pic>
      <xdr:nvPicPr>
        <xdr:cNvPr id="15" name="Picture 14">
          <a:hlinkClick xmlns:r="http://schemas.openxmlformats.org/officeDocument/2006/relationships" r:id="rId3"/>
          <a:extLst>
            <a:ext uri="{FF2B5EF4-FFF2-40B4-BE49-F238E27FC236}">
              <a16:creationId xmlns:a16="http://schemas.microsoft.com/office/drawing/2014/main" id="{E1657D91-AB85-417B-81CF-71F98B22BEE2}"/>
            </a:ext>
          </a:extLst>
        </xdr:cNvPr>
        <xdr:cNvPicPr>
          <a:picLocks noChangeAspect="1"/>
        </xdr:cNvPicPr>
      </xdr:nvPicPr>
      <xdr:blipFill>
        <a:blip xmlns:r="http://schemas.openxmlformats.org/officeDocument/2006/relationships" r:embed="rId4">
          <a:alphaModFix amt="70000"/>
          <a:extLst>
            <a:ext uri="{28A0092B-C50C-407E-A947-70E740481C1C}">
              <a14:useLocalDpi xmlns:a14="http://schemas.microsoft.com/office/drawing/2010/main" val="0"/>
            </a:ext>
          </a:extLst>
        </a:blip>
        <a:stretch>
          <a:fillRect/>
        </a:stretch>
      </xdr:blipFill>
      <xdr:spPr>
        <a:xfrm>
          <a:off x="16443436" y="418938"/>
          <a:ext cx="577584" cy="445587"/>
        </a:xfrm>
        <a:prstGeom prst="rect">
          <a:avLst/>
        </a:prstGeom>
      </xdr:spPr>
    </xdr:pic>
    <xdr:clientData/>
  </xdr:twoCellAnchor>
  <xdr:twoCellAnchor editAs="oneCell">
    <xdr:from>
      <xdr:col>23</xdr:col>
      <xdr:colOff>390990</xdr:colOff>
      <xdr:row>2</xdr:row>
      <xdr:rowOff>63958</xdr:rowOff>
    </xdr:from>
    <xdr:to>
      <xdr:col>24</xdr:col>
      <xdr:colOff>236918</xdr:colOff>
      <xdr:row>4</xdr:row>
      <xdr:rowOff>73864</xdr:rowOff>
    </xdr:to>
    <xdr:pic>
      <xdr:nvPicPr>
        <xdr:cNvPr id="16" name="Picture 15">
          <a:hlinkClick xmlns:r="http://schemas.openxmlformats.org/officeDocument/2006/relationships" r:id="rId5"/>
          <a:extLst>
            <a:ext uri="{FF2B5EF4-FFF2-40B4-BE49-F238E27FC236}">
              <a16:creationId xmlns:a16="http://schemas.microsoft.com/office/drawing/2014/main" id="{ADA621FC-B0A3-4BC5-BC1E-D7F12A265A5C}"/>
            </a:ext>
          </a:extLst>
        </xdr:cNvPr>
        <xdr:cNvPicPr>
          <a:picLocks noChangeAspect="1"/>
        </xdr:cNvPicPr>
      </xdr:nvPicPr>
      <xdr:blipFill>
        <a:blip xmlns:r="http://schemas.openxmlformats.org/officeDocument/2006/relationships" r:embed="rId6">
          <a:alphaModFix amt="70000"/>
          <a:extLst>
            <a:ext uri="{28A0092B-C50C-407E-A947-70E740481C1C}">
              <a14:useLocalDpi xmlns:a14="http://schemas.microsoft.com/office/drawing/2010/main" val="0"/>
            </a:ext>
          </a:extLst>
        </a:blip>
        <a:stretch>
          <a:fillRect/>
        </a:stretch>
      </xdr:blipFill>
      <xdr:spPr>
        <a:xfrm>
          <a:off x="18073298" y="438445"/>
          <a:ext cx="456504" cy="3843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203200</xdr:colOff>
      <xdr:row>2</xdr:row>
      <xdr:rowOff>146050</xdr:rowOff>
    </xdr:from>
    <xdr:to>
      <xdr:col>24</xdr:col>
      <xdr:colOff>127000</xdr:colOff>
      <xdr:row>42</xdr:row>
      <xdr:rowOff>147876</xdr:rowOff>
    </xdr:to>
    <xdr:sp macro="" textlink="">
      <xdr:nvSpPr>
        <xdr:cNvPr id="2" name="Rectangle 1">
          <a:extLst>
            <a:ext uri="{FF2B5EF4-FFF2-40B4-BE49-F238E27FC236}">
              <a16:creationId xmlns:a16="http://schemas.microsoft.com/office/drawing/2014/main" id="{777F0879-C41C-409B-B475-E8C328A7B3A2}"/>
            </a:ext>
          </a:extLst>
        </xdr:cNvPr>
        <xdr:cNvSpPr/>
      </xdr:nvSpPr>
      <xdr:spPr>
        <a:xfrm>
          <a:off x="2638816" y="511392"/>
          <a:ext cx="12101883" cy="7308676"/>
        </a:xfrm>
        <a:prstGeom prst="rect">
          <a:avLst/>
        </a:prstGeom>
        <a:solidFill>
          <a:srgbClr val="000D0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247650</xdr:colOff>
      <xdr:row>7</xdr:row>
      <xdr:rowOff>53975</xdr:rowOff>
    </xdr:from>
    <xdr:to>
      <xdr:col>18</xdr:col>
      <xdr:colOff>184150</xdr:colOff>
      <xdr:row>22</xdr:row>
      <xdr:rowOff>180975</xdr:rowOff>
    </xdr:to>
    <xdr:sp macro="" textlink="">
      <xdr:nvSpPr>
        <xdr:cNvPr id="3" name="TextBox 2">
          <a:extLst>
            <a:ext uri="{FF2B5EF4-FFF2-40B4-BE49-F238E27FC236}">
              <a16:creationId xmlns:a16="http://schemas.microsoft.com/office/drawing/2014/main" id="{438A0E37-3542-46FC-B9C2-12321418CEBE}"/>
            </a:ext>
          </a:extLst>
        </xdr:cNvPr>
        <xdr:cNvSpPr txBox="1"/>
      </xdr:nvSpPr>
      <xdr:spPr>
        <a:xfrm>
          <a:off x="8172450" y="1343025"/>
          <a:ext cx="2984500" cy="288925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9</xdr:col>
      <xdr:colOff>44450</xdr:colOff>
      <xdr:row>15</xdr:row>
      <xdr:rowOff>82550</xdr:rowOff>
    </xdr:from>
    <xdr:to>
      <xdr:col>12</xdr:col>
      <xdr:colOff>300482</xdr:colOff>
      <xdr:row>22</xdr:row>
      <xdr:rowOff>73660</xdr:rowOff>
    </xdr:to>
    <xdr:sp macro="" textlink="">
      <xdr:nvSpPr>
        <xdr:cNvPr id="4" name="TextBox 3">
          <a:extLst>
            <a:ext uri="{FF2B5EF4-FFF2-40B4-BE49-F238E27FC236}">
              <a16:creationId xmlns:a16="http://schemas.microsoft.com/office/drawing/2014/main" id="{F174C9F7-C9CD-4F73-871B-C7AF20538CA1}"/>
            </a:ext>
          </a:extLst>
        </xdr:cNvPr>
        <xdr:cNvSpPr txBox="1"/>
      </xdr:nvSpPr>
      <xdr:spPr>
        <a:xfrm>
          <a:off x="5530850" y="2844800"/>
          <a:ext cx="2084832" cy="128016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5</xdr:col>
      <xdr:colOff>120650</xdr:colOff>
      <xdr:row>7</xdr:row>
      <xdr:rowOff>34925</xdr:rowOff>
    </xdr:from>
    <xdr:to>
      <xdr:col>8</xdr:col>
      <xdr:colOff>374650</xdr:colOff>
      <xdr:row>14</xdr:row>
      <xdr:rowOff>26035</xdr:rowOff>
    </xdr:to>
    <xdr:sp macro="" textlink="">
      <xdr:nvSpPr>
        <xdr:cNvPr id="5" name="TextBox 4">
          <a:extLst>
            <a:ext uri="{FF2B5EF4-FFF2-40B4-BE49-F238E27FC236}">
              <a16:creationId xmlns:a16="http://schemas.microsoft.com/office/drawing/2014/main" id="{EE35EB1C-32BA-4F09-ABC2-533D0179A7A0}"/>
            </a:ext>
          </a:extLst>
        </xdr:cNvPr>
        <xdr:cNvSpPr txBox="1"/>
      </xdr:nvSpPr>
      <xdr:spPr>
        <a:xfrm>
          <a:off x="3168650" y="1323975"/>
          <a:ext cx="2082800" cy="128016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5</xdr:col>
      <xdr:colOff>101600</xdr:colOff>
      <xdr:row>15</xdr:row>
      <xdr:rowOff>82550</xdr:rowOff>
    </xdr:from>
    <xdr:to>
      <xdr:col>8</xdr:col>
      <xdr:colOff>357632</xdr:colOff>
      <xdr:row>22</xdr:row>
      <xdr:rowOff>73660</xdr:rowOff>
    </xdr:to>
    <xdr:sp macro="" textlink="">
      <xdr:nvSpPr>
        <xdr:cNvPr id="6" name="TextBox 5">
          <a:extLst>
            <a:ext uri="{FF2B5EF4-FFF2-40B4-BE49-F238E27FC236}">
              <a16:creationId xmlns:a16="http://schemas.microsoft.com/office/drawing/2014/main" id="{F6FB2B49-43E4-4743-B247-191B9F25C39E}"/>
            </a:ext>
          </a:extLst>
        </xdr:cNvPr>
        <xdr:cNvSpPr txBox="1"/>
      </xdr:nvSpPr>
      <xdr:spPr>
        <a:xfrm>
          <a:off x="3149600" y="2844800"/>
          <a:ext cx="2084832" cy="128016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9</xdr:col>
      <xdr:colOff>38100</xdr:colOff>
      <xdr:row>7</xdr:row>
      <xdr:rowOff>34925</xdr:rowOff>
    </xdr:from>
    <xdr:to>
      <xdr:col>12</xdr:col>
      <xdr:colOff>294132</xdr:colOff>
      <xdr:row>14</xdr:row>
      <xdr:rowOff>26035</xdr:rowOff>
    </xdr:to>
    <xdr:sp macro="" textlink="">
      <xdr:nvSpPr>
        <xdr:cNvPr id="7" name="TextBox 6">
          <a:extLst>
            <a:ext uri="{FF2B5EF4-FFF2-40B4-BE49-F238E27FC236}">
              <a16:creationId xmlns:a16="http://schemas.microsoft.com/office/drawing/2014/main" id="{77802266-AFD2-4BAA-99ED-1EEA67D07AB0}"/>
            </a:ext>
          </a:extLst>
        </xdr:cNvPr>
        <xdr:cNvSpPr txBox="1"/>
      </xdr:nvSpPr>
      <xdr:spPr>
        <a:xfrm>
          <a:off x="5524500" y="1323975"/>
          <a:ext cx="2084832" cy="128016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18</xdr:col>
      <xdr:colOff>381000</xdr:colOff>
      <xdr:row>7</xdr:row>
      <xdr:rowOff>53975</xdr:rowOff>
    </xdr:from>
    <xdr:to>
      <xdr:col>23</xdr:col>
      <xdr:colOff>317500</xdr:colOff>
      <xdr:row>22</xdr:row>
      <xdr:rowOff>180975</xdr:rowOff>
    </xdr:to>
    <xdr:sp macro="" textlink="">
      <xdr:nvSpPr>
        <xdr:cNvPr id="12" name="TextBox 11">
          <a:extLst>
            <a:ext uri="{FF2B5EF4-FFF2-40B4-BE49-F238E27FC236}">
              <a16:creationId xmlns:a16="http://schemas.microsoft.com/office/drawing/2014/main" id="{22E9942B-61D7-4759-B266-43C7AE72EE66}"/>
            </a:ext>
          </a:extLst>
        </xdr:cNvPr>
        <xdr:cNvSpPr txBox="1"/>
      </xdr:nvSpPr>
      <xdr:spPr>
        <a:xfrm>
          <a:off x="11353800" y="1343025"/>
          <a:ext cx="2984500" cy="288925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13</xdr:col>
      <xdr:colOff>262283</xdr:colOff>
      <xdr:row>24</xdr:row>
      <xdr:rowOff>63499</xdr:rowOff>
    </xdr:from>
    <xdr:to>
      <xdr:col>23</xdr:col>
      <xdr:colOff>317499</xdr:colOff>
      <xdr:row>40</xdr:row>
      <xdr:rowOff>75984</xdr:rowOff>
    </xdr:to>
    <xdr:sp macro="" textlink="">
      <xdr:nvSpPr>
        <xdr:cNvPr id="13" name="TextBox 12">
          <a:extLst>
            <a:ext uri="{FF2B5EF4-FFF2-40B4-BE49-F238E27FC236}">
              <a16:creationId xmlns:a16="http://schemas.microsoft.com/office/drawing/2014/main" id="{3ACA114E-7BB4-466C-BB41-A6D8B63BD059}"/>
            </a:ext>
          </a:extLst>
        </xdr:cNvPr>
        <xdr:cNvSpPr txBox="1"/>
      </xdr:nvSpPr>
      <xdr:spPr>
        <a:xfrm>
          <a:off x="8178036" y="4447609"/>
          <a:ext cx="6144258" cy="2935224"/>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5</xdr:col>
      <xdr:colOff>50800</xdr:colOff>
      <xdr:row>24</xdr:row>
      <xdr:rowOff>95250</xdr:rowOff>
    </xdr:from>
    <xdr:to>
      <xdr:col>12</xdr:col>
      <xdr:colOff>324402</xdr:colOff>
      <xdr:row>40</xdr:row>
      <xdr:rowOff>104384</xdr:rowOff>
    </xdr:to>
    <xdr:sp macro="" textlink="">
      <xdr:nvSpPr>
        <xdr:cNvPr id="15" name="TextBox 14">
          <a:extLst>
            <a:ext uri="{FF2B5EF4-FFF2-40B4-BE49-F238E27FC236}">
              <a16:creationId xmlns:a16="http://schemas.microsoft.com/office/drawing/2014/main" id="{EC3EF6C7-0F92-4CFE-B19B-5EC8FF59AE5B}"/>
            </a:ext>
          </a:extLst>
        </xdr:cNvPr>
        <xdr:cNvSpPr txBox="1"/>
      </xdr:nvSpPr>
      <xdr:spPr>
        <a:xfrm>
          <a:off x="3095321" y="4479360"/>
          <a:ext cx="4535930" cy="2931873"/>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xdr:from>
      <xdr:col>11</xdr:col>
      <xdr:colOff>469900</xdr:colOff>
      <xdr:row>1</xdr:row>
      <xdr:rowOff>120650</xdr:rowOff>
    </xdr:from>
    <xdr:to>
      <xdr:col>18</xdr:col>
      <xdr:colOff>254000</xdr:colOff>
      <xdr:row>4</xdr:row>
      <xdr:rowOff>57150</xdr:rowOff>
    </xdr:to>
    <xdr:sp macro="" textlink="">
      <xdr:nvSpPr>
        <xdr:cNvPr id="16" name="TextBox 15">
          <a:extLst>
            <a:ext uri="{FF2B5EF4-FFF2-40B4-BE49-F238E27FC236}">
              <a16:creationId xmlns:a16="http://schemas.microsoft.com/office/drawing/2014/main" id="{5C1A89E3-3154-40D6-8A89-109DB5EC9857}"/>
            </a:ext>
          </a:extLst>
        </xdr:cNvPr>
        <xdr:cNvSpPr txBox="1"/>
      </xdr:nvSpPr>
      <xdr:spPr>
        <a:xfrm>
          <a:off x="7175500" y="304800"/>
          <a:ext cx="4051300" cy="488950"/>
        </a:xfrm>
        <a:prstGeom prst="roundRect">
          <a:avLst/>
        </a:prstGeom>
        <a:solidFill>
          <a:srgbClr val="001C1F"/>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clientData/>
  </xdr:twoCellAnchor>
  <xdr:twoCellAnchor editAs="oneCell">
    <xdr:from>
      <xdr:col>5</xdr:col>
      <xdr:colOff>355324</xdr:colOff>
      <xdr:row>9</xdr:row>
      <xdr:rowOff>146326</xdr:rowOff>
    </xdr:from>
    <xdr:to>
      <xdr:col>6</xdr:col>
      <xdr:colOff>336274</xdr:colOff>
      <xdr:row>12</xdr:row>
      <xdr:rowOff>146224</xdr:rowOff>
    </xdr:to>
    <xdr:pic>
      <xdr:nvPicPr>
        <xdr:cNvPr id="18" name="Picture 17">
          <a:extLst>
            <a:ext uri="{FF2B5EF4-FFF2-40B4-BE49-F238E27FC236}">
              <a16:creationId xmlns:a16="http://schemas.microsoft.com/office/drawing/2014/main" id="{98358DE5-E53A-4578-935E-C88182C015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92281" y="1823554"/>
          <a:ext cx="588341" cy="558974"/>
        </a:xfrm>
        <a:prstGeom prst="rect">
          <a:avLst/>
        </a:prstGeom>
      </xdr:spPr>
    </xdr:pic>
    <xdr:clientData/>
  </xdr:twoCellAnchor>
  <xdr:twoCellAnchor editAs="oneCell">
    <xdr:from>
      <xdr:col>12</xdr:col>
      <xdr:colOff>99200</xdr:colOff>
      <xdr:row>1</xdr:row>
      <xdr:rowOff>139700</xdr:rowOff>
    </xdr:from>
    <xdr:to>
      <xdr:col>13</xdr:col>
      <xdr:colOff>63500</xdr:colOff>
      <xdr:row>4</xdr:row>
      <xdr:rowOff>41974</xdr:rowOff>
    </xdr:to>
    <xdr:pic>
      <xdr:nvPicPr>
        <xdr:cNvPr id="20" name="Picture 19">
          <a:hlinkClick xmlns:r="http://schemas.openxmlformats.org/officeDocument/2006/relationships" r:id="rId2"/>
          <a:extLst>
            <a:ext uri="{FF2B5EF4-FFF2-40B4-BE49-F238E27FC236}">
              <a16:creationId xmlns:a16="http://schemas.microsoft.com/office/drawing/2014/main" id="{4D76B672-A592-43A5-B804-07E2B7810E1A}"/>
            </a:ext>
          </a:extLst>
        </xdr:cNvPr>
        <xdr:cNvPicPr>
          <a:picLocks noChangeAspect="1"/>
        </xdr:cNvPicPr>
      </xdr:nvPicPr>
      <xdr:blipFill>
        <a:blip xmlns:r="http://schemas.openxmlformats.org/officeDocument/2006/relationships" r:embed="rId3">
          <a:alphaModFix amt="70000"/>
          <a:extLst>
            <a:ext uri="{28A0092B-C50C-407E-A947-70E740481C1C}">
              <a14:useLocalDpi xmlns:a14="http://schemas.microsoft.com/office/drawing/2010/main" val="0"/>
            </a:ext>
          </a:extLst>
        </a:blip>
        <a:stretch>
          <a:fillRect/>
        </a:stretch>
      </xdr:blipFill>
      <xdr:spPr>
        <a:xfrm>
          <a:off x="7414400" y="323850"/>
          <a:ext cx="573900" cy="454724"/>
        </a:xfrm>
        <a:prstGeom prst="rect">
          <a:avLst/>
        </a:prstGeom>
      </xdr:spPr>
    </xdr:pic>
    <xdr:clientData/>
  </xdr:twoCellAnchor>
  <xdr:twoCellAnchor editAs="oneCell">
    <xdr:from>
      <xdr:col>14</xdr:col>
      <xdr:colOff>457200</xdr:colOff>
      <xdr:row>1</xdr:row>
      <xdr:rowOff>165101</xdr:rowOff>
    </xdr:from>
    <xdr:to>
      <xdr:col>15</xdr:col>
      <xdr:colOff>425880</xdr:colOff>
      <xdr:row>4</xdr:row>
      <xdr:rowOff>62674</xdr:rowOff>
    </xdr:to>
    <xdr:pic>
      <xdr:nvPicPr>
        <xdr:cNvPr id="22" name="Picture 21">
          <a:hlinkClick xmlns:r="http://schemas.openxmlformats.org/officeDocument/2006/relationships" r:id="rId4"/>
          <a:extLst>
            <a:ext uri="{FF2B5EF4-FFF2-40B4-BE49-F238E27FC236}">
              <a16:creationId xmlns:a16="http://schemas.microsoft.com/office/drawing/2014/main" id="{4CF864CC-28D8-4D42-80DC-4B65B1CED54D}"/>
            </a:ext>
          </a:extLst>
        </xdr:cNvPr>
        <xdr:cNvPicPr>
          <a:picLocks noChangeAspect="1"/>
        </xdr:cNvPicPr>
      </xdr:nvPicPr>
      <xdr:blipFill>
        <a:blip xmlns:r="http://schemas.openxmlformats.org/officeDocument/2006/relationships" r:embed="rId5">
          <a:alphaModFix amt="70000"/>
          <a:extLst>
            <a:ext uri="{28A0092B-C50C-407E-A947-70E740481C1C}">
              <a14:useLocalDpi xmlns:a14="http://schemas.microsoft.com/office/drawing/2010/main" val="0"/>
            </a:ext>
          </a:extLst>
        </a:blip>
        <a:stretch>
          <a:fillRect/>
        </a:stretch>
      </xdr:blipFill>
      <xdr:spPr>
        <a:xfrm>
          <a:off x="8960678" y="351460"/>
          <a:ext cx="576072" cy="456649"/>
        </a:xfrm>
        <a:prstGeom prst="rect">
          <a:avLst/>
        </a:prstGeom>
      </xdr:spPr>
    </xdr:pic>
    <xdr:clientData/>
  </xdr:twoCellAnchor>
  <xdr:twoCellAnchor editAs="oneCell">
    <xdr:from>
      <xdr:col>17</xdr:col>
      <xdr:colOff>260350</xdr:colOff>
      <xdr:row>2</xdr:row>
      <xdr:rowOff>1937</xdr:rowOff>
    </xdr:from>
    <xdr:to>
      <xdr:col>18</xdr:col>
      <xdr:colOff>107950</xdr:colOff>
      <xdr:row>4</xdr:row>
      <xdr:rowOff>20987</xdr:rowOff>
    </xdr:to>
    <xdr:pic>
      <xdr:nvPicPr>
        <xdr:cNvPr id="24" name="Picture 23">
          <a:hlinkClick xmlns:r="http://schemas.openxmlformats.org/officeDocument/2006/relationships" r:id="rId6"/>
          <a:extLst>
            <a:ext uri="{FF2B5EF4-FFF2-40B4-BE49-F238E27FC236}">
              <a16:creationId xmlns:a16="http://schemas.microsoft.com/office/drawing/2014/main" id="{E01676EE-A4FB-48E2-B8AD-835B09CB12C9}"/>
            </a:ext>
          </a:extLst>
        </xdr:cNvPr>
        <xdr:cNvPicPr>
          <a:picLocks noChangeAspect="1"/>
        </xdr:cNvPicPr>
      </xdr:nvPicPr>
      <xdr:blipFill>
        <a:blip xmlns:r="http://schemas.openxmlformats.org/officeDocument/2006/relationships" r:embed="rId7">
          <a:alphaModFix amt="70000"/>
          <a:extLst>
            <a:ext uri="{28A0092B-C50C-407E-A947-70E740481C1C}">
              <a14:useLocalDpi xmlns:a14="http://schemas.microsoft.com/office/drawing/2010/main" val="0"/>
            </a:ext>
          </a:extLst>
        </a:blip>
        <a:stretch>
          <a:fillRect/>
        </a:stretch>
      </xdr:blipFill>
      <xdr:spPr>
        <a:xfrm>
          <a:off x="10586002" y="374654"/>
          <a:ext cx="454991" cy="391768"/>
        </a:xfrm>
        <a:prstGeom prst="rect">
          <a:avLst/>
        </a:prstGeom>
      </xdr:spPr>
    </xdr:pic>
    <xdr:clientData/>
  </xdr:twoCellAnchor>
  <xdr:twoCellAnchor>
    <xdr:from>
      <xdr:col>5</xdr:col>
      <xdr:colOff>179456</xdr:colOff>
      <xdr:row>7</xdr:row>
      <xdr:rowOff>98012</xdr:rowOff>
    </xdr:from>
    <xdr:to>
      <xdr:col>7</xdr:col>
      <xdr:colOff>82825</xdr:colOff>
      <xdr:row>9</xdr:row>
      <xdr:rowOff>22088</xdr:rowOff>
    </xdr:to>
    <xdr:sp macro="" textlink="">
      <xdr:nvSpPr>
        <xdr:cNvPr id="25" name="TextBox 24">
          <a:extLst>
            <a:ext uri="{FF2B5EF4-FFF2-40B4-BE49-F238E27FC236}">
              <a16:creationId xmlns:a16="http://schemas.microsoft.com/office/drawing/2014/main" id="{E59AFE54-104E-4373-93D4-5F5468CBAF7C}"/>
            </a:ext>
          </a:extLst>
        </xdr:cNvPr>
        <xdr:cNvSpPr txBox="1"/>
      </xdr:nvSpPr>
      <xdr:spPr>
        <a:xfrm>
          <a:off x="3216413" y="1402523"/>
          <a:ext cx="1118151"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Customers</a:t>
          </a:r>
        </a:p>
      </xdr:txBody>
    </xdr:sp>
    <xdr:clientData/>
  </xdr:twoCellAnchor>
  <xdr:twoCellAnchor>
    <xdr:from>
      <xdr:col>13</xdr:col>
      <xdr:colOff>428487</xdr:colOff>
      <xdr:row>25</xdr:row>
      <xdr:rowOff>73579</xdr:rowOff>
    </xdr:from>
    <xdr:to>
      <xdr:col>16</xdr:col>
      <xdr:colOff>0</xdr:colOff>
      <xdr:row>26</xdr:row>
      <xdr:rowOff>184013</xdr:rowOff>
    </xdr:to>
    <xdr:sp macro="" textlink="">
      <xdr:nvSpPr>
        <xdr:cNvPr id="26" name="TextBox 25">
          <a:extLst>
            <a:ext uri="{FF2B5EF4-FFF2-40B4-BE49-F238E27FC236}">
              <a16:creationId xmlns:a16="http://schemas.microsoft.com/office/drawing/2014/main" id="{41A822E2-8D22-4339-870A-03372127ECEB}"/>
            </a:ext>
          </a:extLst>
        </xdr:cNvPr>
        <xdr:cNvSpPr txBox="1"/>
      </xdr:nvSpPr>
      <xdr:spPr>
        <a:xfrm>
          <a:off x="8324574" y="4732546"/>
          <a:ext cx="1393687"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Top</a:t>
          </a:r>
          <a:r>
            <a:rPr lang="en-US" sz="1400" baseline="0">
              <a:solidFill>
                <a:srgbClr val="5A7072"/>
              </a:solidFill>
            </a:rPr>
            <a:t> </a:t>
          </a:r>
          <a:r>
            <a:rPr lang="en-US" sz="1400" baseline="0">
              <a:solidFill>
                <a:srgbClr val="BAC8C9"/>
              </a:solidFill>
              <a:latin typeface="+mn-lt"/>
              <a:ea typeface="+mn-ea"/>
              <a:cs typeface="+mn-cs"/>
            </a:rPr>
            <a:t>Customers</a:t>
          </a:r>
        </a:p>
      </xdr:txBody>
    </xdr:sp>
    <xdr:clientData/>
  </xdr:twoCellAnchor>
  <xdr:twoCellAnchor>
    <xdr:from>
      <xdr:col>18</xdr:col>
      <xdr:colOff>539475</xdr:colOff>
      <xdr:row>7</xdr:row>
      <xdr:rowOff>98012</xdr:rowOff>
    </xdr:from>
    <xdr:to>
      <xdr:col>21</xdr:col>
      <xdr:colOff>538370</xdr:colOff>
      <xdr:row>9</xdr:row>
      <xdr:rowOff>22088</xdr:rowOff>
    </xdr:to>
    <xdr:sp macro="" textlink="">
      <xdr:nvSpPr>
        <xdr:cNvPr id="27" name="TextBox 26">
          <a:extLst>
            <a:ext uri="{FF2B5EF4-FFF2-40B4-BE49-F238E27FC236}">
              <a16:creationId xmlns:a16="http://schemas.microsoft.com/office/drawing/2014/main" id="{FC74F429-B622-47FD-BEDC-FF6173B11176}"/>
            </a:ext>
          </a:extLst>
        </xdr:cNvPr>
        <xdr:cNvSpPr txBox="1"/>
      </xdr:nvSpPr>
      <xdr:spPr>
        <a:xfrm>
          <a:off x="11472518" y="1402523"/>
          <a:ext cx="1821069"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rPr>
            <a:t>Customer By Segment</a:t>
          </a:r>
          <a:endParaRPr lang="en-US" sz="1400">
            <a:solidFill>
              <a:srgbClr val="BAC8C9"/>
            </a:solidFill>
          </a:endParaRPr>
        </a:p>
      </xdr:txBody>
    </xdr:sp>
    <xdr:clientData/>
  </xdr:twoCellAnchor>
  <xdr:twoCellAnchor>
    <xdr:from>
      <xdr:col>5</xdr:col>
      <xdr:colOff>91384</xdr:colOff>
      <xdr:row>25</xdr:row>
      <xdr:rowOff>73579</xdr:rowOff>
    </xdr:from>
    <xdr:to>
      <xdr:col>7</xdr:col>
      <xdr:colOff>200163</xdr:colOff>
      <xdr:row>26</xdr:row>
      <xdr:rowOff>184013</xdr:rowOff>
    </xdr:to>
    <xdr:sp macro="" textlink="">
      <xdr:nvSpPr>
        <xdr:cNvPr id="28" name="TextBox 27">
          <a:extLst>
            <a:ext uri="{FF2B5EF4-FFF2-40B4-BE49-F238E27FC236}">
              <a16:creationId xmlns:a16="http://schemas.microsoft.com/office/drawing/2014/main" id="{D93BFAC6-B8C1-45B0-99F4-8D6FC9A465E4}"/>
            </a:ext>
          </a:extLst>
        </xdr:cNvPr>
        <xdr:cNvSpPr txBox="1"/>
      </xdr:nvSpPr>
      <xdr:spPr>
        <a:xfrm>
          <a:off x="3128341" y="4732546"/>
          <a:ext cx="1323561"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Yearly</a:t>
          </a:r>
          <a:r>
            <a:rPr lang="en-US" sz="1400" baseline="0">
              <a:solidFill>
                <a:srgbClr val="5A7072"/>
              </a:solidFill>
            </a:rPr>
            <a:t> </a:t>
          </a:r>
          <a:r>
            <a:rPr lang="en-US" sz="1400" baseline="0">
              <a:solidFill>
                <a:srgbClr val="BAC8C9"/>
              </a:solidFill>
              <a:latin typeface="+mn-lt"/>
              <a:ea typeface="+mn-ea"/>
              <a:cs typeface="+mn-cs"/>
            </a:rPr>
            <a:t>Income</a:t>
          </a:r>
        </a:p>
      </xdr:txBody>
    </xdr:sp>
    <xdr:clientData/>
  </xdr:twoCellAnchor>
  <xdr:twoCellAnchor>
    <xdr:from>
      <xdr:col>9</xdr:col>
      <xdr:colOff>9111</xdr:colOff>
      <xdr:row>15</xdr:row>
      <xdr:rowOff>137355</xdr:rowOff>
    </xdr:from>
    <xdr:to>
      <xdr:col>11</xdr:col>
      <xdr:colOff>144946</xdr:colOff>
      <xdr:row>17</xdr:row>
      <xdr:rowOff>61430</xdr:rowOff>
    </xdr:to>
    <xdr:sp macro="" textlink="">
      <xdr:nvSpPr>
        <xdr:cNvPr id="29" name="TextBox 28">
          <a:extLst>
            <a:ext uri="{FF2B5EF4-FFF2-40B4-BE49-F238E27FC236}">
              <a16:creationId xmlns:a16="http://schemas.microsoft.com/office/drawing/2014/main" id="{CC6E9CE9-BBF2-483E-8762-36DCCC2B1982}"/>
            </a:ext>
          </a:extLst>
        </xdr:cNvPr>
        <xdr:cNvSpPr txBox="1"/>
      </xdr:nvSpPr>
      <xdr:spPr>
        <a:xfrm>
          <a:off x="5475633" y="2932735"/>
          <a:ext cx="1350617"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Average</a:t>
          </a:r>
          <a:r>
            <a:rPr lang="en-US" sz="1400" baseline="0">
              <a:solidFill>
                <a:srgbClr val="5A7072"/>
              </a:solidFill>
            </a:rPr>
            <a:t> </a:t>
          </a:r>
          <a:r>
            <a:rPr lang="en-US" sz="1400" baseline="0">
              <a:solidFill>
                <a:srgbClr val="BAC8C9"/>
              </a:solidFill>
              <a:latin typeface="+mn-lt"/>
              <a:ea typeface="+mn-ea"/>
              <a:cs typeface="+mn-cs"/>
            </a:rPr>
            <a:t>Tenure</a:t>
          </a:r>
        </a:p>
      </xdr:txBody>
    </xdr:sp>
    <xdr:clientData/>
  </xdr:twoCellAnchor>
  <xdr:twoCellAnchor>
    <xdr:from>
      <xdr:col>9</xdr:col>
      <xdr:colOff>44174</xdr:colOff>
      <xdr:row>7</xdr:row>
      <xdr:rowOff>98012</xdr:rowOff>
    </xdr:from>
    <xdr:to>
      <xdr:col>10</xdr:col>
      <xdr:colOff>554934</xdr:colOff>
      <xdr:row>9</xdr:row>
      <xdr:rowOff>22088</xdr:rowOff>
    </xdr:to>
    <xdr:sp macro="" textlink="">
      <xdr:nvSpPr>
        <xdr:cNvPr id="30" name="TextBox 29">
          <a:extLst>
            <a:ext uri="{FF2B5EF4-FFF2-40B4-BE49-F238E27FC236}">
              <a16:creationId xmlns:a16="http://schemas.microsoft.com/office/drawing/2014/main" id="{283F1FA8-0380-437F-BCA0-73715F03A217}"/>
            </a:ext>
          </a:extLst>
        </xdr:cNvPr>
        <xdr:cNvSpPr txBox="1"/>
      </xdr:nvSpPr>
      <xdr:spPr>
        <a:xfrm>
          <a:off x="5510696" y="1402523"/>
          <a:ext cx="1118151"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Average</a:t>
          </a:r>
          <a:r>
            <a:rPr lang="en-US" sz="1400" baseline="0">
              <a:solidFill>
                <a:srgbClr val="5A7072"/>
              </a:solidFill>
            </a:rPr>
            <a:t> </a:t>
          </a:r>
          <a:r>
            <a:rPr lang="en-US" sz="1400" baseline="0">
              <a:solidFill>
                <a:srgbClr val="BAC8C9"/>
              </a:solidFill>
              <a:latin typeface="+mn-lt"/>
              <a:ea typeface="+mn-ea"/>
              <a:cs typeface="+mn-cs"/>
            </a:rPr>
            <a:t>Age</a:t>
          </a:r>
        </a:p>
      </xdr:txBody>
    </xdr:sp>
    <xdr:clientData/>
  </xdr:twoCellAnchor>
  <xdr:twoCellAnchor>
    <xdr:from>
      <xdr:col>5</xdr:col>
      <xdr:colOff>120649</xdr:colOff>
      <xdr:row>15</xdr:row>
      <xdr:rowOff>137355</xdr:rowOff>
    </xdr:from>
    <xdr:to>
      <xdr:col>7</xdr:col>
      <xdr:colOff>324402</xdr:colOff>
      <xdr:row>17</xdr:row>
      <xdr:rowOff>61430</xdr:rowOff>
    </xdr:to>
    <xdr:sp macro="" textlink="">
      <xdr:nvSpPr>
        <xdr:cNvPr id="31" name="TextBox 30">
          <a:extLst>
            <a:ext uri="{FF2B5EF4-FFF2-40B4-BE49-F238E27FC236}">
              <a16:creationId xmlns:a16="http://schemas.microsoft.com/office/drawing/2014/main" id="{05DE94A0-71E1-485E-B9E8-C428A4A2FD8E}"/>
            </a:ext>
          </a:extLst>
        </xdr:cNvPr>
        <xdr:cNvSpPr txBox="1"/>
      </xdr:nvSpPr>
      <xdr:spPr>
        <a:xfrm>
          <a:off x="3157606" y="2932735"/>
          <a:ext cx="1418535"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BAC8C9"/>
              </a:solidFill>
              <a:latin typeface="+mn-lt"/>
              <a:ea typeface="+mn-ea"/>
              <a:cs typeface="+mn-cs"/>
            </a:rPr>
            <a:t>Average</a:t>
          </a:r>
          <a:r>
            <a:rPr lang="en-US" sz="1400" baseline="0">
              <a:solidFill>
                <a:srgbClr val="5A7072"/>
              </a:solidFill>
            </a:rPr>
            <a:t> </a:t>
          </a:r>
          <a:r>
            <a:rPr lang="en-US" sz="1400" baseline="0">
              <a:solidFill>
                <a:srgbClr val="BAC8C9"/>
              </a:solidFill>
              <a:latin typeface="+mn-lt"/>
              <a:ea typeface="+mn-ea"/>
              <a:cs typeface="+mn-cs"/>
            </a:rPr>
            <a:t>Income</a:t>
          </a:r>
        </a:p>
      </xdr:txBody>
    </xdr:sp>
    <xdr:clientData/>
  </xdr:twoCellAnchor>
  <xdr:twoCellAnchor>
    <xdr:from>
      <xdr:col>13</xdr:col>
      <xdr:colOff>286855</xdr:colOff>
      <xdr:row>7</xdr:row>
      <xdr:rowOff>98012</xdr:rowOff>
    </xdr:from>
    <xdr:to>
      <xdr:col>16</xdr:col>
      <xdr:colOff>193261</xdr:colOff>
      <xdr:row>9</xdr:row>
      <xdr:rowOff>22088</xdr:rowOff>
    </xdr:to>
    <xdr:sp macro="" textlink="">
      <xdr:nvSpPr>
        <xdr:cNvPr id="32" name="TextBox 31">
          <a:extLst>
            <a:ext uri="{FF2B5EF4-FFF2-40B4-BE49-F238E27FC236}">
              <a16:creationId xmlns:a16="http://schemas.microsoft.com/office/drawing/2014/main" id="{F8F236D8-F3C9-4F21-BD73-1916B44D5531}"/>
            </a:ext>
          </a:extLst>
        </xdr:cNvPr>
        <xdr:cNvSpPr txBox="1"/>
      </xdr:nvSpPr>
      <xdr:spPr>
        <a:xfrm>
          <a:off x="8182942" y="1402523"/>
          <a:ext cx="1728580" cy="296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aseline="0">
              <a:solidFill>
                <a:srgbClr val="BAC8C9"/>
              </a:solidFill>
              <a:latin typeface="+mn-lt"/>
              <a:ea typeface="+mn-ea"/>
              <a:cs typeface="+mn-cs"/>
            </a:rPr>
            <a:t>Customer By Region</a:t>
          </a:r>
        </a:p>
      </xdr:txBody>
    </xdr:sp>
    <xdr:clientData/>
  </xdr:twoCellAnchor>
  <xdr:twoCellAnchor>
    <xdr:from>
      <xdr:col>5</xdr:col>
      <xdr:colOff>48315</xdr:colOff>
      <xdr:row>5</xdr:row>
      <xdr:rowOff>19935</xdr:rowOff>
    </xdr:from>
    <xdr:to>
      <xdr:col>10</xdr:col>
      <xdr:colOff>117337</xdr:colOff>
      <xdr:row>7</xdr:row>
      <xdr:rowOff>13033</xdr:rowOff>
    </xdr:to>
    <xdr:sp macro="" textlink="">
      <xdr:nvSpPr>
        <xdr:cNvPr id="33" name="TextBox 32">
          <a:extLst>
            <a:ext uri="{FF2B5EF4-FFF2-40B4-BE49-F238E27FC236}">
              <a16:creationId xmlns:a16="http://schemas.microsoft.com/office/drawing/2014/main" id="{0B842F9D-58E4-4546-9504-B4A47B56C3B4}"/>
            </a:ext>
          </a:extLst>
        </xdr:cNvPr>
        <xdr:cNvSpPr txBox="1"/>
      </xdr:nvSpPr>
      <xdr:spPr>
        <a:xfrm>
          <a:off x="3092836" y="933291"/>
          <a:ext cx="3113542" cy="358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BAC8C9"/>
              </a:solidFill>
            </a:rPr>
            <a:t>MetroBank</a:t>
          </a:r>
          <a:r>
            <a:rPr lang="en-US" sz="1600" b="1" baseline="0">
              <a:solidFill>
                <a:srgbClr val="BAC8C9"/>
              </a:solidFill>
            </a:rPr>
            <a:t> Financial Dashboard</a:t>
          </a:r>
          <a:endParaRPr lang="en-US" sz="1600" b="1">
            <a:solidFill>
              <a:srgbClr val="BAC8C9"/>
            </a:solidFill>
          </a:endParaRPr>
        </a:p>
      </xdr:txBody>
    </xdr:sp>
    <xdr:clientData/>
  </xdr:twoCellAnchor>
  <xdr:twoCellAnchor>
    <xdr:from>
      <xdr:col>6</xdr:col>
      <xdr:colOff>518215</xdr:colOff>
      <xdr:row>9</xdr:row>
      <xdr:rowOff>166982</xdr:rowOff>
    </xdr:from>
    <xdr:to>
      <xdr:col>8</xdr:col>
      <xdr:colOff>421584</xdr:colOff>
      <xdr:row>12</xdr:row>
      <xdr:rowOff>125569</xdr:rowOff>
    </xdr:to>
    <xdr:sp macro="" textlink="TOTALCUSTOMERS">
      <xdr:nvSpPr>
        <xdr:cNvPr id="35" name="TextBox 34">
          <a:extLst>
            <a:ext uri="{FF2B5EF4-FFF2-40B4-BE49-F238E27FC236}">
              <a16:creationId xmlns:a16="http://schemas.microsoft.com/office/drawing/2014/main" id="{81388EF5-30F3-435A-A17D-FB7169B781BF}"/>
            </a:ext>
          </a:extLst>
        </xdr:cNvPr>
        <xdr:cNvSpPr txBox="1"/>
      </xdr:nvSpPr>
      <xdr:spPr>
        <a:xfrm>
          <a:off x="4162563" y="1844210"/>
          <a:ext cx="1118151"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FA6C60-2129-41D0-87CD-23C03A0986C6}" type="TxLink">
            <a:rPr lang="en-US" sz="3200" b="1" i="0" u="none" strike="noStrike" baseline="0">
              <a:solidFill>
                <a:srgbClr val="BAC8C9"/>
              </a:solidFill>
              <a:latin typeface="Calibri"/>
              <a:ea typeface="+mn-ea"/>
              <a:cs typeface="Calibri"/>
            </a:rPr>
            <a:pPr/>
            <a:t>500</a:t>
          </a:fld>
          <a:endParaRPr lang="en-US" sz="4000" b="1" baseline="0">
            <a:solidFill>
              <a:srgbClr val="BAC8C9"/>
            </a:solidFill>
            <a:latin typeface="+mn-lt"/>
            <a:ea typeface="+mn-ea"/>
            <a:cs typeface="+mn-cs"/>
          </a:endParaRPr>
        </a:p>
      </xdr:txBody>
    </xdr:sp>
    <xdr:clientData/>
  </xdr:twoCellAnchor>
  <xdr:twoCellAnchor>
    <xdr:from>
      <xdr:col>9</xdr:col>
      <xdr:colOff>146050</xdr:colOff>
      <xdr:row>9</xdr:row>
      <xdr:rowOff>166982</xdr:rowOff>
    </xdr:from>
    <xdr:to>
      <xdr:col>11</xdr:col>
      <xdr:colOff>49419</xdr:colOff>
      <xdr:row>12</xdr:row>
      <xdr:rowOff>125569</xdr:rowOff>
    </xdr:to>
    <xdr:sp macro="" textlink="AVERAGEAGE">
      <xdr:nvSpPr>
        <xdr:cNvPr id="36" name="TextBox 35">
          <a:extLst>
            <a:ext uri="{FF2B5EF4-FFF2-40B4-BE49-F238E27FC236}">
              <a16:creationId xmlns:a16="http://schemas.microsoft.com/office/drawing/2014/main" id="{E9BE249B-7E9C-4723-A121-2EA3A118B821}"/>
            </a:ext>
          </a:extLst>
        </xdr:cNvPr>
        <xdr:cNvSpPr txBox="1"/>
      </xdr:nvSpPr>
      <xdr:spPr>
        <a:xfrm>
          <a:off x="5612572" y="1844210"/>
          <a:ext cx="1118151"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9DC325-85EC-476D-A18B-FA20A09DECD2}" type="TxLink">
            <a:rPr lang="en-US" sz="3200" b="1" i="0" u="none" strike="noStrike" baseline="0">
              <a:solidFill>
                <a:srgbClr val="BAC8C9"/>
              </a:solidFill>
              <a:latin typeface="Calibri"/>
              <a:ea typeface="+mn-ea"/>
              <a:cs typeface="Calibri"/>
            </a:rPr>
            <a:pPr marL="0" indent="0"/>
            <a:t>46</a:t>
          </a:fld>
          <a:endParaRPr lang="en-US" sz="3200" b="1" i="0" u="none" strike="noStrike" baseline="0">
            <a:solidFill>
              <a:srgbClr val="BAC8C9"/>
            </a:solidFill>
            <a:latin typeface="Calibri"/>
            <a:ea typeface="+mn-ea"/>
            <a:cs typeface="Calibri"/>
          </a:endParaRPr>
        </a:p>
      </xdr:txBody>
    </xdr:sp>
    <xdr:clientData/>
  </xdr:twoCellAnchor>
  <xdr:twoCellAnchor>
    <xdr:from>
      <xdr:col>5</xdr:col>
      <xdr:colOff>181113</xdr:colOff>
      <xdr:row>17</xdr:row>
      <xdr:rowOff>181614</xdr:rowOff>
    </xdr:from>
    <xdr:to>
      <xdr:col>8</xdr:col>
      <xdr:colOff>179457</xdr:colOff>
      <xdr:row>20</xdr:row>
      <xdr:rowOff>140201</xdr:rowOff>
    </xdr:to>
    <xdr:sp macro="" textlink="AVERAGEINCOME">
      <xdr:nvSpPr>
        <xdr:cNvPr id="37" name="TextBox 36">
          <a:extLst>
            <a:ext uri="{FF2B5EF4-FFF2-40B4-BE49-F238E27FC236}">
              <a16:creationId xmlns:a16="http://schemas.microsoft.com/office/drawing/2014/main" id="{1F01DC43-285F-4770-87B4-7F5EC00CA886}"/>
            </a:ext>
          </a:extLst>
        </xdr:cNvPr>
        <xdr:cNvSpPr txBox="1"/>
      </xdr:nvSpPr>
      <xdr:spPr>
        <a:xfrm>
          <a:off x="3218070" y="3349712"/>
          <a:ext cx="1820517"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F00B43-BD90-4A4F-AFE9-DFE4C8F1227E}" type="TxLink">
            <a:rPr lang="en-US" sz="3200" b="1" i="0" u="none" strike="noStrike" baseline="0">
              <a:solidFill>
                <a:srgbClr val="BAC8C9"/>
              </a:solidFill>
              <a:latin typeface="Calibri"/>
              <a:ea typeface="+mn-ea"/>
              <a:cs typeface="Calibri"/>
            </a:rPr>
            <a:pPr marL="0" indent="0"/>
            <a:t>$114,399 </a:t>
          </a:fld>
          <a:endParaRPr lang="en-US" sz="3200" b="1" i="0" u="none" strike="noStrike" baseline="0">
            <a:solidFill>
              <a:srgbClr val="BAC8C9"/>
            </a:solidFill>
            <a:latin typeface="Calibri"/>
            <a:ea typeface="+mn-ea"/>
            <a:cs typeface="Calibri"/>
          </a:endParaRPr>
        </a:p>
      </xdr:txBody>
    </xdr:sp>
    <xdr:clientData/>
  </xdr:twoCellAnchor>
  <xdr:twoCellAnchor>
    <xdr:from>
      <xdr:col>9</xdr:col>
      <xdr:colOff>98839</xdr:colOff>
      <xdr:row>17</xdr:row>
      <xdr:rowOff>181614</xdr:rowOff>
    </xdr:from>
    <xdr:to>
      <xdr:col>12</xdr:col>
      <xdr:colOff>97182</xdr:colOff>
      <xdr:row>20</xdr:row>
      <xdr:rowOff>140201</xdr:rowOff>
    </xdr:to>
    <xdr:sp macro="" textlink="AVERAGETENURE">
      <xdr:nvSpPr>
        <xdr:cNvPr id="38" name="TextBox 37">
          <a:extLst>
            <a:ext uri="{FF2B5EF4-FFF2-40B4-BE49-F238E27FC236}">
              <a16:creationId xmlns:a16="http://schemas.microsoft.com/office/drawing/2014/main" id="{047E725B-F7C6-4770-9694-4FAD42A0F2EA}"/>
            </a:ext>
          </a:extLst>
        </xdr:cNvPr>
        <xdr:cNvSpPr txBox="1"/>
      </xdr:nvSpPr>
      <xdr:spPr>
        <a:xfrm>
          <a:off x="5565361" y="3349712"/>
          <a:ext cx="1820517" cy="517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E3602B-093A-42D1-843C-208F406D2456}" type="TxLink">
            <a:rPr lang="en-US" sz="3200" b="1" i="0" u="none" strike="noStrike" baseline="0">
              <a:solidFill>
                <a:srgbClr val="BAC8C9"/>
              </a:solidFill>
              <a:latin typeface="Calibri"/>
              <a:ea typeface="+mn-ea"/>
              <a:cs typeface="Calibri"/>
            </a:rPr>
            <a:pPr marL="0" indent="0"/>
            <a:t>5</a:t>
          </a:fld>
          <a:r>
            <a:rPr lang="en-US" sz="3200" b="1" i="0" u="none" strike="noStrike" baseline="0">
              <a:solidFill>
                <a:srgbClr val="BAC8C9"/>
              </a:solidFill>
              <a:latin typeface="Calibri"/>
              <a:ea typeface="+mn-ea"/>
              <a:cs typeface="Calibri"/>
            </a:rPr>
            <a:t>years</a:t>
          </a:r>
        </a:p>
      </xdr:txBody>
    </xdr:sp>
    <xdr:clientData/>
  </xdr:twoCellAnchor>
  <xdr:twoCellAnchor>
    <xdr:from>
      <xdr:col>14</xdr:col>
      <xdr:colOff>11200</xdr:colOff>
      <xdr:row>26</xdr:row>
      <xdr:rowOff>115070</xdr:rowOff>
    </xdr:from>
    <xdr:to>
      <xdr:col>22</xdr:col>
      <xdr:colOff>359433</xdr:colOff>
      <xdr:row>36</xdr:row>
      <xdr:rowOff>121301</xdr:rowOff>
    </xdr:to>
    <xdr:graphicFrame macro="">
      <xdr:nvGraphicFramePr>
        <xdr:cNvPr id="40" name="Chart 39">
          <a:extLst>
            <a:ext uri="{FF2B5EF4-FFF2-40B4-BE49-F238E27FC236}">
              <a16:creationId xmlns:a16="http://schemas.microsoft.com/office/drawing/2014/main" id="{D06EE567-09D8-4A78-8254-2E4706A25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78288</xdr:colOff>
      <xdr:row>27</xdr:row>
      <xdr:rowOff>139179</xdr:rowOff>
    </xdr:from>
    <xdr:to>
      <xdr:col>12</xdr:col>
      <xdr:colOff>295754</xdr:colOff>
      <xdr:row>39</xdr:row>
      <xdr:rowOff>60892</xdr:rowOff>
    </xdr:to>
    <xdr:graphicFrame macro="">
      <xdr:nvGraphicFramePr>
        <xdr:cNvPr id="41" name="Chart 40">
          <a:extLst>
            <a:ext uri="{FF2B5EF4-FFF2-40B4-BE49-F238E27FC236}">
              <a16:creationId xmlns:a16="http://schemas.microsoft.com/office/drawing/2014/main" id="{0C44E06C-A45E-481B-82CA-CFCC5B63F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400135</xdr:colOff>
      <xdr:row>10</xdr:row>
      <xdr:rowOff>104384</xdr:rowOff>
    </xdr:from>
    <xdr:to>
      <xdr:col>23</xdr:col>
      <xdr:colOff>408834</xdr:colOff>
      <xdr:row>22</xdr:row>
      <xdr:rowOff>84855</xdr:rowOff>
    </xdr:to>
    <xdr:graphicFrame macro="">
      <xdr:nvGraphicFramePr>
        <xdr:cNvPr id="42" name="Chart 41">
          <a:extLst>
            <a:ext uri="{FF2B5EF4-FFF2-40B4-BE49-F238E27FC236}">
              <a16:creationId xmlns:a16="http://schemas.microsoft.com/office/drawing/2014/main" id="{E7652819-6131-4BB5-8B3B-70AFD4E0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326285</xdr:colOff>
      <xdr:row>9</xdr:row>
      <xdr:rowOff>46930</xdr:rowOff>
    </xdr:from>
    <xdr:to>
      <xdr:col>19</xdr:col>
      <xdr:colOff>44918</xdr:colOff>
      <xdr:row>22</xdr:row>
      <xdr:rowOff>114512</xdr:rowOff>
    </xdr:to>
    <xdr:graphicFrame macro="">
      <xdr:nvGraphicFramePr>
        <xdr:cNvPr id="43" name="Chart 42">
          <a:extLst>
            <a:ext uri="{FF2B5EF4-FFF2-40B4-BE49-F238E27FC236}">
              <a16:creationId xmlns:a16="http://schemas.microsoft.com/office/drawing/2014/main" id="{0B13E976-485E-46D4-80AA-B09FC9819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391438</xdr:colOff>
      <xdr:row>4</xdr:row>
      <xdr:rowOff>174653</xdr:rowOff>
    </xdr:from>
    <xdr:to>
      <xdr:col>24</xdr:col>
      <xdr:colOff>50316</xdr:colOff>
      <xdr:row>7</xdr:row>
      <xdr:rowOff>78968</xdr:rowOff>
    </xdr:to>
    <mc:AlternateContent xmlns:mc="http://schemas.openxmlformats.org/markup-compatibility/2006" xmlns:a14="http://schemas.microsoft.com/office/drawing/2010/main">
      <mc:Choice Requires="a14">
        <xdr:graphicFrame macro="">
          <xdr:nvGraphicFramePr>
            <xdr:cNvPr id="45" name="Customer_Segment 1">
              <a:extLst>
                <a:ext uri="{FF2B5EF4-FFF2-40B4-BE49-F238E27FC236}">
                  <a16:creationId xmlns:a16="http://schemas.microsoft.com/office/drawing/2014/main" id="{BC74CE72-FA4F-4F4C-AEC1-D2A1D4A6BCC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0742808" y="905338"/>
              <a:ext cx="3921207" cy="452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72720</xdr:colOff>
      <xdr:row>4</xdr:row>
      <xdr:rowOff>164624</xdr:rowOff>
    </xdr:from>
    <xdr:to>
      <xdr:col>17</xdr:col>
      <xdr:colOff>456873</xdr:colOff>
      <xdr:row>7</xdr:row>
      <xdr:rowOff>51014</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DF6CC65E-9E11-4B04-9D4F-27F14124A9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79569" y="895309"/>
              <a:ext cx="3428674" cy="434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3.908655555555" createdVersion="7" refreshedVersion="7" minRefreshableVersion="3" recordCount="500" xr:uid="{00000000-000A-0000-FFFF-FFFF09000000}">
  <cacheSource type="worksheet">
    <worksheetSource name="Table2"/>
  </cacheSource>
  <cacheFields count="14">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49">
      <sharedItems count="499">
        <s v="Mrs. Deborah Dominguez MD"/>
        <s v="Erin Martinez"/>
        <s v="Amanda Harris"/>
        <s v="Candice Palmer"/>
        <s v="Sandra Davis"/>
        <s v="Vanessa Peterson"/>
        <s v="Tyler Fischer"/>
        <s v="William Horton"/>
        <s v="Donna Williams"/>
        <s v="Mary Casey"/>
        <s v="Kevin Phillips"/>
        <s v="Michael Richard"/>
        <s v="Jaime Davis MD"/>
        <s v="Eric Peterson"/>
        <s v="Ms. Renee Cardenas PhD"/>
        <s v="Ashlee Baird"/>
        <s v="Michael Conner"/>
        <s v="Jeff Koch"/>
        <s v="Melissa Clark"/>
        <s v="Janice Scott"/>
        <s v="Elizabeth Smith"/>
        <s v="Jodi Burns"/>
        <s v="Robert Robertson"/>
        <s v="Curtis Scott"/>
        <s v="Cindy Parks"/>
        <s v="Charles Fields"/>
        <s v="Michael Murray MD"/>
        <s v="Edward Haynes"/>
        <s v="James Allen"/>
        <s v="Angela Robinson"/>
        <s v="Michelle Day"/>
        <s v="Steven Walker"/>
        <s v="Lindsey Christensen"/>
        <s v="Brooke Carlson"/>
        <s v="Kevin Marshall"/>
        <s v="Bradley Moore"/>
        <s v="Dawn Navarro"/>
        <s v="Adam Garcia"/>
        <s v="Jorge James"/>
        <s v="Adam Montgomery"/>
        <s v="Dr. Nicole Mendez"/>
        <s v="Joseph Owens"/>
        <s v="Stephanie Ashley"/>
        <s v="Regina Harris"/>
        <s v="Ashley Miller"/>
        <s v="Keith Watson"/>
        <s v="Patricia Schneider"/>
        <s v="Deanna Watson"/>
        <s v="Samantha Davis"/>
        <s v="Michele Kim"/>
        <s v="Daniel Logan"/>
        <s v="Kimberly Valencia"/>
        <s v="Mrs. Nicole Fitzpatrick"/>
        <s v="Carmen Thomas"/>
        <s v="Darius Garcia"/>
        <s v="Jackie West"/>
        <s v="Brandy Murphy"/>
        <s v="Rhonda Charles"/>
        <s v="Matthew Sanchez"/>
        <s v="Meghan Le"/>
        <s v="Ricky Fisher"/>
        <s v="Tony Bell"/>
        <s v="Matthew Ruiz"/>
        <s v="Joshua White"/>
        <s v="Crystal Smith"/>
        <s v="Felicia Nelson"/>
        <s v="Jessica Williams"/>
        <s v="Barbara Gonzalez"/>
        <s v="Amanda Beck"/>
        <s v="Bob Stout"/>
        <s v="Ashley Johnson"/>
        <s v="Billy Hendrix Jr."/>
        <s v="Sarah Brown"/>
        <s v="Christopher Chapman"/>
        <s v="Stephen Jacobs"/>
        <s v="Pamela Johnson"/>
        <s v="Bryan Butler"/>
        <s v="Jenna Butler"/>
        <s v="Richard Bennett"/>
        <s v="Kevin Young"/>
        <s v="Taylor Perkins"/>
        <s v="Marcus Miller"/>
        <s v="Joseph Burns"/>
        <s v="Carlos Watson"/>
        <s v="John Ruiz"/>
        <s v="Ashley Lewis"/>
        <s v="Jack Coleman"/>
        <s v="Amanda Hall"/>
        <s v="Elizabeth Brown"/>
        <s v="Edward Ramirez"/>
        <s v="Christopher Smith"/>
        <s v="Amanda Nelson"/>
        <s v="Miguel Rodriguez"/>
        <s v="Timothy Gutierrez"/>
        <s v="Christopher Miller"/>
        <s v="Scott Bailey"/>
        <s v="Danielle Newman"/>
        <s v="Jeremy Jones"/>
        <s v="Alexis Avila"/>
        <s v="Leslie Buchanan"/>
        <s v="Robert Wright"/>
        <s v="Patrick Moore"/>
        <s v="Donna Perkins"/>
        <s v="Matthew Palmer"/>
        <s v="Eric Mayer"/>
        <s v="Linda Lopez"/>
        <s v="Andrew Flynn"/>
        <s v="Carmen Graham"/>
        <s v="Emily Scott"/>
        <s v="Jose Decker"/>
        <s v="Anita White"/>
        <s v="Daniel Adams"/>
        <s v="Anthony Ramos"/>
        <s v="Megan Proctor"/>
        <s v="Sarah Guzman"/>
        <s v="Guy Hughes"/>
        <s v="Heidi Sharp"/>
        <s v="Shawn Randolph"/>
        <s v="Valerie Kelley"/>
        <s v="Sherri Webb"/>
        <s v="Mary Cole"/>
        <s v="Mariah Hernandez"/>
        <s v="Kerry Frazier"/>
        <s v="David Smith"/>
        <s v="Juan Rodriguez"/>
        <s v="Jessica Walker"/>
        <s v="Jennifer Watkins DDS"/>
        <s v="Jessica Ward"/>
        <s v="Jeanette Greene"/>
        <s v="Michael Jensen"/>
        <s v="Michael Velasquez"/>
        <s v="Kendra Diaz"/>
        <s v="Lydia Ford"/>
        <s v="Sherry Guerrero"/>
        <s v="Dr. Sarah Perez"/>
        <s v="Andrea Taylor"/>
        <s v="Jamie Perry"/>
        <s v="Jacqueline Murphy"/>
        <s v="Julie Lynch"/>
        <s v="Corey Wilson"/>
        <s v="Nicole Huynh"/>
        <s v="Charles Chapman"/>
        <s v="Jamie Spencer"/>
        <s v="Philip Ochoa"/>
        <s v="Albert Jones"/>
        <s v="Veronica Mullins"/>
        <s v="Christina Wood"/>
        <s v="Thomas Fowler"/>
        <s v="Nicholas Hicks"/>
        <s v="Abigail Allen"/>
        <s v="Makayla Sawyer"/>
        <s v="Eric Gomez"/>
        <s v="Patrick Pope"/>
        <s v="Kristen Ross"/>
        <s v="James Ewing DDS"/>
        <s v="Sara Morris"/>
        <s v="Samantha Conway"/>
        <s v="Michael Ward"/>
        <s v="Stacey Poole"/>
        <s v="Rachel Rivera PhD"/>
        <s v="David Sanders"/>
        <s v="Lauren Lutz"/>
        <s v="Nathan Taylor"/>
        <s v="Hannah Brown"/>
        <s v="Jeffrey Golden"/>
        <s v="Julian Thomas"/>
        <s v="Paula Brown"/>
        <s v="Whitney Hampton"/>
        <s v="Timothy Lyons"/>
        <s v="Mason Swanson"/>
        <s v="Wendy Hull"/>
        <s v="Kevin Castillo"/>
        <s v="David Wilson"/>
        <s v="Evan Holt"/>
        <s v="Nancy Hoffman"/>
        <s v="Barbara Fisher"/>
        <s v="Chad Walsh"/>
        <s v="Joseph Wiley"/>
        <s v="Deborah Fisher"/>
        <s v="Krista Williams"/>
        <s v="Terry Mercer"/>
        <s v="Katie Padilla"/>
        <s v="Victor Thomas"/>
        <s v="Christopher Willis"/>
        <s v="Laura Watkins"/>
        <s v="Eric Lopez"/>
        <s v="Jillian Rangel"/>
        <s v="Kristopher Fletcher"/>
        <s v="Ryan Doyle"/>
        <s v="Cesar Silva"/>
        <s v="Nicholas Miller"/>
        <s v="Kim Hubbard"/>
        <s v="Robert Roberts"/>
        <s v="Oscar Young"/>
        <s v="Mark Mckenzie"/>
        <s v="Victoria Montoya"/>
        <s v="Evelyn Mendoza"/>
        <s v="Sarah Santiago"/>
        <s v="Gerald Robinson"/>
        <s v="Ryan Gill"/>
        <s v="Gary Johnson"/>
        <s v="Jason Johnson"/>
        <s v="Dr. Caitlyn Durham"/>
        <s v="Robert Gonzalez"/>
        <s v="Bryan Allen"/>
        <s v="Daniel Richardson"/>
        <s v="Christopher Wise"/>
        <s v="Leslie Ashley"/>
        <s v="Lauren Davidson"/>
        <s v="Joanne Ray"/>
        <s v="Ryan Mccormick"/>
        <s v="Stephen Russell"/>
        <s v="Nathan Blackburn"/>
        <s v="Sarah Wilson"/>
        <s v="Cassandra Mcbride"/>
        <s v="Abigail Gallegos"/>
        <s v="Jeremy Brown"/>
        <s v="Samantha Castro"/>
        <s v="Nathaniel Hudson"/>
        <s v="Maria Herman"/>
        <s v="Timothy Walters"/>
        <s v="Mrs. Carrie Castro"/>
        <s v="Chad White"/>
        <s v="Karen Lam"/>
        <s v="Sarah Walton"/>
        <s v="Theodore Mckinney"/>
        <s v="Sharon Chapman"/>
        <s v="Melinda Cunningham"/>
        <s v="Luke Lamb"/>
        <s v="Ryan Holt"/>
        <s v="Andrew Payne"/>
        <s v="Misty Jacobs"/>
        <s v="Kenneth Harrington"/>
        <s v="Ryan Glass"/>
        <s v="Stephanie Valdez"/>
        <s v="Patrick Ortiz"/>
        <s v="Nicholas Washington"/>
        <s v="Crystal Melton"/>
        <s v="Daniel Williams"/>
        <s v="James Park"/>
        <s v="Jeff Coleman"/>
        <s v="Dustin Young"/>
        <s v="Richard Johnson"/>
        <s v="Timothy Wolf"/>
        <s v="Kenneth Garza"/>
        <s v="Joshua Best"/>
        <s v="Charles Wilson"/>
        <s v="Andre Bridges"/>
        <s v="Dana Buchanan"/>
        <s v="James Hardy"/>
        <s v="Danny Scott"/>
        <s v="Justin Krause"/>
        <s v="Mike Walker"/>
        <s v="James Wilkinson"/>
        <s v="Nathaniel Wolf"/>
        <s v="Robert Cooper"/>
        <s v="Lisa Stevens"/>
        <s v="Susan Thompson"/>
        <s v="Jennifer Bell"/>
        <s v="Nicholas Stone"/>
        <s v="John Craig"/>
        <s v="Joy Lopez"/>
        <s v="Kristi Adams"/>
        <s v="Kevin Tapia"/>
        <s v="Mr. Carlos Wood"/>
        <s v="Maria Everett"/>
        <s v="Nicholas Cherry"/>
        <s v="Derek Gardner"/>
        <s v="Ashley Harper"/>
        <s v="Sarah Taylor"/>
        <s v="Keith Hendrix"/>
        <s v="Seth Fritz"/>
        <s v="Thomas Luna"/>
        <s v="Megan Allen"/>
        <s v="Todd Moore"/>
        <s v="Rebecca Bailey"/>
        <s v="Brandon Bennett"/>
        <s v="Stacy Burns"/>
        <s v="Vanessa Martinez"/>
        <s v="Kristy Washington"/>
        <s v="Dustin Zhang"/>
        <s v="Monique Griffin"/>
        <s v="Kristen Spencer"/>
        <s v="Robert Clay"/>
        <s v="Kristen Nguyen"/>
        <s v="Melanie Butler"/>
        <s v="Tanner Davidson"/>
        <s v="Richard Mcdonald"/>
        <s v="Kelly Dennis"/>
        <s v="Kimberly Anderson"/>
        <s v="Sherry Watson"/>
        <s v="Tony Dunn"/>
        <s v="Adam Welch"/>
        <s v="Vicki Andersen"/>
        <s v="Donna Clark"/>
        <s v="Ronald Meyer"/>
        <s v="Jeffery James"/>
        <s v="Heather Rodriguez"/>
        <s v="Luis Werner"/>
        <s v="Stephanie Khan"/>
        <s v="Regina Schultz"/>
        <s v="Austin James"/>
        <s v="Steven Black"/>
        <s v="Linda Hansen"/>
        <s v="Erica Perez"/>
        <s v="Marco Hartman"/>
        <s v="Angela Garcia"/>
        <s v="Daniel Miller"/>
        <s v="Jeanne Marquez"/>
        <s v="Joshua Morales"/>
        <s v="Dr. Jeremy Miller"/>
        <s v="Jennifer Foster"/>
        <s v="Amy Thornton"/>
        <s v="Kenneth Vasquez"/>
        <s v="Audrey Ward"/>
        <s v="Heather Carter"/>
        <s v="Robert Hill"/>
        <s v="Jay Gray"/>
        <s v="Reginald Tapia"/>
        <s v="Erica Collins"/>
        <s v="Joseph Hunter"/>
        <s v="Lisa Hartman"/>
        <s v="James Hernandez"/>
        <s v="Erin Nelson"/>
        <s v="Gregg Harris"/>
        <s v="William Singleton"/>
        <s v="Raymond Smith"/>
        <s v="Brenda Brown"/>
        <s v="Philip Brown"/>
        <s v="Jeremy Boyer"/>
        <s v="Theresa Burke"/>
        <s v="Amber Myers"/>
        <s v="Ronald Bennett"/>
        <s v="Beth Mccoy"/>
        <s v="George Ramos"/>
        <s v="Kimberly Estes"/>
        <s v="Debbie Riley"/>
        <s v="Derek Jones"/>
        <s v="Susan Best"/>
        <s v="Kyle Hendricks"/>
        <s v="Paul Payne"/>
        <s v="Perry Alvarez"/>
        <s v="Danielle Cox"/>
        <s v="Christian Mendez"/>
        <s v="Alicia Day"/>
        <s v="Nathan Smith"/>
        <s v="Oscar Ortiz"/>
        <s v="Jenna Cochran"/>
        <s v="Christopher Spencer"/>
        <s v="Brandon Fox DDS"/>
        <s v="Alexander Davis"/>
        <s v="Steven Gilbert"/>
        <s v="Mrs. Valerie Dunlap MD"/>
        <s v="Kathleen Richardson"/>
        <s v="Rebecca Doyle"/>
        <s v="Tyler Harris"/>
        <s v="Jordan Bates"/>
        <s v="Susan Walsh"/>
        <s v="Zachary Knapp"/>
        <s v="Alfred Griffith"/>
        <s v="Jack Smith"/>
        <s v="Arthur Green"/>
        <s v="William Fuller"/>
        <s v="Jeffrey Long"/>
        <s v="Andrea Turner"/>
        <s v="Gregory Lee"/>
        <s v="David Hatfield"/>
        <s v="Scott Jackson"/>
        <s v="Heather Davis"/>
        <s v="Brooke Hayes"/>
        <s v="Kaitlyn Johnson"/>
        <s v="Daisy Casey"/>
        <s v="Melvin Wells"/>
        <s v="Jacqueline Russell"/>
        <s v="Paul Stephens"/>
        <s v="Angela Jackson"/>
        <s v="Ashley Hayes"/>
        <s v="Claudia Casey"/>
        <s v="Jay Jackson"/>
        <s v="Brandon Morales"/>
        <s v="Timothy Mcknight"/>
        <s v="Wendy Hodge"/>
        <s v="Aaron Hernandez"/>
        <s v="Erik Baldwin"/>
        <s v="Michael West"/>
        <s v="Megan Davis"/>
        <s v="Robert Barnes"/>
        <s v="Zachary Schmidt"/>
        <s v="Michael Mitchell"/>
        <s v="John Dunlap"/>
        <s v="Alexis Becker"/>
        <s v="John Jacobs"/>
        <s v="Tina Adams"/>
        <s v="Daniel Moore"/>
        <s v="Patricia Bush"/>
        <s v="Daniel Bradley"/>
        <s v="Amanda Walls"/>
        <s v="Elizabeth Green"/>
        <s v="Kevin Hughes"/>
        <s v="Timothy Brewer MD"/>
        <s v="Kelsey Rodriguez"/>
        <s v="Brandon Dominguez"/>
        <s v="Amy Moreno"/>
        <s v="Jessica Lee"/>
        <s v="Morgan Douglas"/>
        <s v="Katherine Freeman"/>
        <s v="Tammy Jackson"/>
        <s v="Roger Koch"/>
        <s v="Shannon Moss"/>
        <s v="Shelley Moss"/>
        <s v="Darren Morgan"/>
        <s v="Jackie Bell"/>
        <s v="Kristen Petersen"/>
        <s v="Jennifer Mercado"/>
        <s v="Kyle Rodriguez"/>
        <s v="Jose Mayer"/>
        <s v="Logan Fleming"/>
        <s v="Cameron Cox"/>
        <s v="Kimberly Lopez"/>
        <s v="James Edwards"/>
        <s v="Jon Russell"/>
        <s v="Amanda Thompson"/>
        <s v="Matthew Martinez"/>
        <s v="Gregory Scott"/>
        <s v="Michele Wood"/>
        <s v="Juan Reed"/>
        <s v="Michelle Lyons"/>
        <s v="Courtney Carr"/>
        <s v="Mary Clark"/>
        <s v="Dana Robinson"/>
        <s v="Zachary Vasquez"/>
        <s v="Brendan Shepard MD"/>
        <s v="Elizabeth Sanford"/>
        <s v="Jennifer Jenkins"/>
        <s v="Victor Tran"/>
        <s v="Scott Crosby"/>
        <s v="Monica Perez"/>
        <s v="Mallory Miller"/>
        <s v="Kyle Perry"/>
        <s v="Emily Sellers"/>
        <s v="Keith Rodriguez"/>
        <s v="Daniel Crawford"/>
        <s v="Jason Smith"/>
        <s v="Eric Goodwin"/>
        <s v="Jeffrey Grant"/>
        <s v="Scott Wall"/>
        <s v="Alexander Dunn"/>
        <s v="Heather Allen"/>
        <s v="Seth Kent"/>
        <s v="Audrey Walters"/>
        <s v="Mary Fletcher"/>
        <s v="Renee Williams"/>
        <s v="Ashley Young"/>
        <s v="Ralph Johnson"/>
        <s v="Michael Kramer"/>
        <s v="Edward Bell"/>
        <s v="Steven Beltran"/>
        <s v="Raymond Holmes"/>
        <s v="Katherine Cohen"/>
        <s v="Tiffany Lam"/>
        <s v="Lisa Strickland"/>
        <s v="Dr. Heather White"/>
        <s v="Diane Nelson"/>
        <s v="Janet Ray"/>
        <s v="Tammy Taylor"/>
        <s v="Dr. Christina Erickson"/>
        <s v="Matthew Kane"/>
        <s v="Michael Davies"/>
        <s v="Jason Garcia"/>
        <s v="Roger Johnson"/>
        <s v="Anna Mitchell"/>
        <s v="Tina Lowery"/>
        <s v="Gregory Bauer"/>
        <s v="Frank Le"/>
        <s v="William Brown"/>
        <s v="Deborah King"/>
        <s v="Louis Palmer"/>
        <s v="David Watson"/>
        <s v="Lisa Crawford"/>
        <s v="Carolyn Evans"/>
        <s v="Thomas Johnson"/>
        <s v="Rita Leonard"/>
        <s v="John Madden"/>
        <s v="Christopher Hart"/>
        <s v="Ronald Craig"/>
        <s v="Christina Young"/>
        <s v="Brendan Daniels"/>
        <s v="Monica Carter"/>
        <s v="Eric Wilson"/>
        <s v="Gail Bates"/>
        <s v="Michelle Allen"/>
        <s v="Joseph Dean"/>
        <s v="Hector May"/>
        <s v="Janet Wells"/>
        <s v="Morgan Anderson"/>
        <s v="Vincent Gray"/>
        <s v="Yolanda Olson PhD"/>
        <s v="Kayla Kelley"/>
        <s v="Olivia Barton"/>
      </sharedItems>
    </cacheField>
    <cacheField name="Gender" numFmtId="49">
      <sharedItems count="2">
        <s v="Male"/>
        <s v="Female"/>
      </sharedItems>
    </cacheField>
    <cacheField name="Age" numFmtId="1">
      <sharedItems containsSemiMixedTypes="0" containsString="0" containsNumber="1" containsInteger="1" minValue="18" maxValue="74"/>
    </cacheField>
    <cacheField name="Region" numFmtId="49">
      <sharedItems count="4">
        <s v="North"/>
        <s v="East"/>
        <s v="West"/>
        <s v="South"/>
      </sharedItems>
    </cacheField>
    <cacheField name="Occupation" numFmtId="49">
      <sharedItems count="7">
        <s v="Doctor"/>
        <s v="Trader"/>
        <s v="Teacher"/>
        <s v="Banker"/>
        <s v="Student"/>
        <s v="Engineer"/>
        <s v="Retired"/>
      </sharedItems>
    </cacheField>
    <cacheField name="Income" numFmtId="164">
      <sharedItems containsSemiMixedTypes="0" containsString="0" containsNumber="1" containsInteger="1" minValue="20281" maxValue="199917"/>
    </cacheField>
    <cacheField name="Customer_Segment" numFmtId="49">
      <sharedItems count="3">
        <s v="Retail"/>
        <s v="Corporate"/>
        <s v="Private"/>
      </sharedItems>
    </cacheField>
    <cacheField name="Join_Date" numFmtId="14">
      <sharedItems containsSemiMixedTypes="0" containsNonDate="0" containsDate="1" containsString="0" minDate="2015-08-23T00:00:00" maxDate="2025-08-23T00:00:00" count="462">
        <d v="2023-04-25T00:00:00"/>
        <d v="2021-05-15T00:00:00"/>
        <d v="2018-12-04T00:00:00"/>
        <d v="2021-10-25T00:00:00"/>
        <d v="2018-07-28T00:00:00"/>
        <d v="2016-05-30T00:00:00"/>
        <d v="2017-10-18T00:00:00"/>
        <d v="2024-06-05T00:00:00"/>
        <d v="2019-02-11T00:00:00"/>
        <d v="2016-02-05T00:00:00"/>
        <d v="2017-02-15T00:00:00"/>
        <d v="2023-12-20T00:00:00"/>
        <d v="2023-04-02T00:00:00"/>
        <d v="2017-08-13T00:00:00"/>
        <d v="2019-07-27T00:00:00"/>
        <d v="2019-06-27T00:00:00"/>
        <d v="2021-06-28T00:00:00"/>
        <d v="2025-03-12T00:00:00"/>
        <d v="2021-09-17T00:00:00"/>
        <d v="2023-05-12T00:00:00"/>
        <d v="2024-05-02T00:00:00"/>
        <d v="2023-07-11T00:00:00"/>
        <d v="2022-07-03T00:00:00"/>
        <d v="2017-01-30T00:00:00"/>
        <d v="2019-09-10T00:00:00"/>
        <d v="2021-09-30T00:00:00"/>
        <d v="2016-08-25T00:00:00"/>
        <d v="2019-08-21T00:00:00"/>
        <d v="2022-09-30T00:00:00"/>
        <d v="2020-10-05T00:00:00"/>
        <d v="2017-01-07T00:00:00"/>
        <d v="2016-07-14T00:00:00"/>
        <d v="2021-11-13T00:00:00"/>
        <d v="2016-06-12T00:00:00"/>
        <d v="2017-06-16T00:00:00"/>
        <d v="2017-07-06T00:00:00"/>
        <d v="2021-11-07T00:00:00"/>
        <d v="2020-08-31T00:00:00"/>
        <d v="2015-10-19T00:00:00"/>
        <d v="2017-04-28T00:00:00"/>
        <d v="2016-07-25T00:00:00"/>
        <d v="2022-07-10T00:00:00"/>
        <d v="2021-08-19T00:00:00"/>
        <d v="2019-06-20T00:00:00"/>
        <d v="2021-05-07T00:00:00"/>
        <d v="2017-04-06T00:00:00"/>
        <d v="2024-07-05T00:00:00"/>
        <d v="2017-01-15T00:00:00"/>
        <d v="2023-03-07T00:00:00"/>
        <d v="2016-09-09T00:00:00"/>
        <d v="2023-05-26T00:00:00"/>
        <d v="2022-06-28T00:00:00"/>
        <d v="2020-10-03T00:00:00"/>
        <d v="2022-12-21T00:00:00"/>
        <d v="2022-05-30T00:00:00"/>
        <d v="2019-07-25T00:00:00"/>
        <d v="2019-06-06T00:00:00"/>
        <d v="2024-03-09T00:00:00"/>
        <d v="2018-11-11T00:00:00"/>
        <d v="2022-11-13T00:00:00"/>
        <d v="2024-11-01T00:00:00"/>
        <d v="2023-04-26T00:00:00"/>
        <d v="2023-03-12T00:00:00"/>
        <d v="2020-10-15T00:00:00"/>
        <d v="2017-12-22T00:00:00"/>
        <d v="2023-03-11T00:00:00"/>
        <d v="2017-11-30T00:00:00"/>
        <d v="2018-08-29T00:00:00"/>
        <d v="2024-07-04T00:00:00"/>
        <d v="2025-06-07T00:00:00"/>
        <d v="2016-03-28T00:00:00"/>
        <d v="2020-04-08T00:00:00"/>
        <d v="2025-01-20T00:00:00"/>
        <d v="2017-07-01T00:00:00"/>
        <d v="2022-01-23T00:00:00"/>
        <d v="2018-07-21T00:00:00"/>
        <d v="2022-01-04T00:00:00"/>
        <d v="2018-04-10T00:00:00"/>
        <d v="2023-03-26T00:00:00"/>
        <d v="2025-05-14T00:00:00"/>
        <d v="2021-04-16T00:00:00"/>
        <d v="2021-04-02T00:00:00"/>
        <d v="2020-01-08T00:00:00"/>
        <d v="2021-03-30T00:00:00"/>
        <d v="2025-06-03T00:00:00"/>
        <d v="2019-10-06T00:00:00"/>
        <d v="2021-01-09T00:00:00"/>
        <d v="2015-08-23T00:00:00"/>
        <d v="2022-08-02T00:00:00"/>
        <d v="2016-06-10T00:00:00"/>
        <d v="2018-01-02T00:00:00"/>
        <d v="2023-11-04T00:00:00"/>
        <d v="2021-07-04T00:00:00"/>
        <d v="2017-08-29T00:00:00"/>
        <d v="2023-06-22T00:00:00"/>
        <d v="2020-11-19T00:00:00"/>
        <d v="2023-01-16T00:00:00"/>
        <d v="2020-07-06T00:00:00"/>
        <d v="2021-12-30T00:00:00"/>
        <d v="2022-05-25T00:00:00"/>
        <d v="2016-10-02T00:00:00"/>
        <d v="2025-04-01T00:00:00"/>
        <d v="2017-07-24T00:00:00"/>
        <d v="2025-03-04T00:00:00"/>
        <d v="2021-01-28T00:00:00"/>
        <d v="2020-09-03T00:00:00"/>
        <d v="2018-06-05T00:00:00"/>
        <d v="2019-07-11T00:00:00"/>
        <d v="2020-04-10T00:00:00"/>
        <d v="2016-03-16T00:00:00"/>
        <d v="2019-07-12T00:00:00"/>
        <d v="2024-08-28T00:00:00"/>
        <d v="2025-05-20T00:00:00"/>
        <d v="2025-02-18T00:00:00"/>
        <d v="2019-12-22T00:00:00"/>
        <d v="2019-03-31T00:00:00"/>
        <d v="2023-06-17T00:00:00"/>
        <d v="2015-09-23T00:00:00"/>
        <d v="2017-07-05T00:00:00"/>
        <d v="2017-01-19T00:00:00"/>
        <d v="2020-03-01T00:00:00"/>
        <d v="2016-01-05T00:00:00"/>
        <d v="2023-04-23T00:00:00"/>
        <d v="2019-02-21T00:00:00"/>
        <d v="2024-07-25T00:00:00"/>
        <d v="2020-05-04T00:00:00"/>
        <d v="2018-02-12T00:00:00"/>
        <d v="2021-09-15T00:00:00"/>
        <d v="2018-06-11T00:00:00"/>
        <d v="2024-05-27T00:00:00"/>
        <d v="2019-05-09T00:00:00"/>
        <d v="2017-03-23T00:00:00"/>
        <d v="2024-11-23T00:00:00"/>
        <d v="2018-09-28T00:00:00"/>
        <d v="2018-08-14T00:00:00"/>
        <d v="2024-09-25T00:00:00"/>
        <d v="2021-11-28T00:00:00"/>
        <d v="2017-12-15T00:00:00"/>
        <d v="2019-05-03T00:00:00"/>
        <d v="2020-07-17T00:00:00"/>
        <d v="2020-02-27T00:00:00"/>
        <d v="2018-08-25T00:00:00"/>
        <d v="2022-11-28T00:00:00"/>
        <d v="2020-07-03T00:00:00"/>
        <d v="2020-04-28T00:00:00"/>
        <d v="2018-11-05T00:00:00"/>
        <d v="2015-12-27T00:00:00"/>
        <d v="2015-10-03T00:00:00"/>
        <d v="2023-12-04T00:00:00"/>
        <d v="2022-10-16T00:00:00"/>
        <d v="2018-03-13T00:00:00"/>
        <d v="2025-04-27T00:00:00"/>
        <d v="2015-11-06T00:00:00"/>
        <d v="2021-02-25T00:00:00"/>
        <d v="2015-09-01T00:00:00"/>
        <d v="2022-08-16T00:00:00"/>
        <d v="2021-03-02T00:00:00"/>
        <d v="2023-09-03T00:00:00"/>
        <d v="2016-03-02T00:00:00"/>
        <d v="2024-07-19T00:00:00"/>
        <d v="2019-11-17T00:00:00"/>
        <d v="2025-02-26T00:00:00"/>
        <d v="2022-11-22T00:00:00"/>
        <d v="2016-06-11T00:00:00"/>
        <d v="2020-06-06T00:00:00"/>
        <d v="2021-11-01T00:00:00"/>
        <d v="2019-10-29T00:00:00"/>
        <d v="2017-11-07T00:00:00"/>
        <d v="2015-10-15T00:00:00"/>
        <d v="2024-09-03T00:00:00"/>
        <d v="2024-12-16T00:00:00"/>
        <d v="2017-03-09T00:00:00"/>
        <d v="2025-02-16T00:00:00"/>
        <d v="2016-01-18T00:00:00"/>
        <d v="2025-07-05T00:00:00"/>
        <d v="2018-04-12T00:00:00"/>
        <d v="2024-05-10T00:00:00"/>
        <d v="2017-05-26T00:00:00"/>
        <d v="2023-06-24T00:00:00"/>
        <d v="2023-10-12T00:00:00"/>
        <d v="2024-08-31T00:00:00"/>
        <d v="2017-09-30T00:00:00"/>
        <d v="2019-11-11T00:00:00"/>
        <d v="2025-08-22T00:00:00"/>
        <d v="2020-12-04T00:00:00"/>
        <d v="2024-06-03T00:00:00"/>
        <d v="2015-09-22T00:00:00"/>
        <d v="2019-05-27T00:00:00"/>
        <d v="2016-02-02T00:00:00"/>
        <d v="2020-04-24T00:00:00"/>
        <d v="2018-01-18T00:00:00"/>
        <d v="2024-03-14T00:00:00"/>
        <d v="2017-08-24T00:00:00"/>
        <d v="2019-03-13T00:00:00"/>
        <d v="2024-08-21T00:00:00"/>
        <d v="2024-10-22T00:00:00"/>
        <d v="2020-03-28T00:00:00"/>
        <d v="2018-11-27T00:00:00"/>
        <d v="2022-03-24T00:00:00"/>
        <d v="2020-04-14T00:00:00"/>
        <d v="2019-10-04T00:00:00"/>
        <d v="2020-02-20T00:00:00"/>
        <d v="2019-01-12T00:00:00"/>
        <d v="2017-08-26T00:00:00"/>
        <d v="2022-08-26T00:00:00"/>
        <d v="2020-02-16T00:00:00"/>
        <d v="2015-11-03T00:00:00"/>
        <d v="2023-06-06T00:00:00"/>
        <d v="2016-08-04T00:00:00"/>
        <d v="2019-09-11T00:00:00"/>
        <d v="2024-05-15T00:00:00"/>
        <d v="2024-07-22T00:00:00"/>
        <d v="2016-01-09T00:00:00"/>
        <d v="2016-10-10T00:00:00"/>
        <d v="2017-12-01T00:00:00"/>
        <d v="2024-04-05T00:00:00"/>
        <d v="2017-05-18T00:00:00"/>
        <d v="2019-01-14T00:00:00"/>
        <d v="2022-08-13T00:00:00"/>
        <d v="2018-03-25T00:00:00"/>
        <d v="2023-01-11T00:00:00"/>
        <d v="2018-08-23T00:00:00"/>
        <d v="2017-07-16T00:00:00"/>
        <d v="2023-04-17T00:00:00"/>
        <d v="2017-05-11T00:00:00"/>
        <d v="2024-10-14T00:00:00"/>
        <d v="2020-10-04T00:00:00"/>
        <d v="2024-11-05T00:00:00"/>
        <d v="2021-12-14T00:00:00"/>
        <d v="2024-05-08T00:00:00"/>
        <d v="2022-03-02T00:00:00"/>
        <d v="2019-08-11T00:00:00"/>
        <d v="2022-12-27T00:00:00"/>
        <d v="2018-10-22T00:00:00"/>
        <d v="2018-01-13T00:00:00"/>
        <d v="2023-09-10T00:00:00"/>
        <d v="2021-01-07T00:00:00"/>
        <d v="2018-07-13T00:00:00"/>
        <d v="2023-06-01T00:00:00"/>
        <d v="2018-08-11T00:00:00"/>
        <d v="2017-07-14T00:00:00"/>
        <d v="2016-10-30T00:00:00"/>
        <d v="2020-09-07T00:00:00"/>
        <d v="2017-08-06T00:00:00"/>
        <d v="2025-06-11T00:00:00"/>
        <d v="2020-10-11T00:00:00"/>
        <d v="2022-01-27T00:00:00"/>
        <d v="2024-08-12T00:00:00"/>
        <d v="2019-12-30T00:00:00"/>
        <d v="2015-10-20T00:00:00"/>
        <d v="2020-09-28T00:00:00"/>
        <d v="2017-02-04T00:00:00"/>
        <d v="2021-08-29T00:00:00"/>
        <d v="2019-12-20T00:00:00"/>
        <d v="2018-02-19T00:00:00"/>
        <d v="2017-01-02T00:00:00"/>
        <d v="2023-05-05T00:00:00"/>
        <d v="2020-02-29T00:00:00"/>
        <d v="2020-06-26T00:00:00"/>
        <d v="2024-09-24T00:00:00"/>
        <d v="2019-11-06T00:00:00"/>
        <d v="2020-10-18T00:00:00"/>
        <d v="2017-12-14T00:00:00"/>
        <d v="2019-02-01T00:00:00"/>
        <d v="2018-08-04T00:00:00"/>
        <d v="2017-05-27T00:00:00"/>
        <d v="2021-10-31T00:00:00"/>
        <d v="2017-05-25T00:00:00"/>
        <d v="2015-10-28T00:00:00"/>
        <d v="2021-02-22T00:00:00"/>
        <d v="2020-01-26T00:00:00"/>
        <d v="2025-04-22T00:00:00"/>
        <d v="2022-10-22T00:00:00"/>
        <d v="2021-03-10T00:00:00"/>
        <d v="2016-09-04T00:00:00"/>
        <d v="2019-02-03T00:00:00"/>
        <d v="2016-10-31T00:00:00"/>
        <d v="2016-05-20T00:00:00"/>
        <d v="2022-03-26T00:00:00"/>
        <d v="2022-10-28T00:00:00"/>
        <d v="2023-10-01T00:00:00"/>
        <d v="2024-04-20T00:00:00"/>
        <d v="2024-02-12T00:00:00"/>
        <d v="2021-10-04T00:00:00"/>
        <d v="2023-01-31T00:00:00"/>
        <d v="2018-05-31T00:00:00"/>
        <d v="2017-11-02T00:00:00"/>
        <d v="2018-06-10T00:00:00"/>
        <d v="2015-10-16T00:00:00"/>
        <d v="2016-05-16T00:00:00"/>
        <d v="2016-12-16T00:00:00"/>
        <d v="2017-05-06T00:00:00"/>
        <d v="2019-04-11T00:00:00"/>
        <d v="2022-06-02T00:00:00"/>
        <d v="2025-05-17T00:00:00"/>
        <d v="2022-03-30T00:00:00"/>
        <d v="2016-01-12T00:00:00"/>
        <d v="2019-06-21T00:00:00"/>
        <d v="2023-09-16T00:00:00"/>
        <d v="2022-12-05T00:00:00"/>
        <d v="2019-05-28T00:00:00"/>
        <d v="2018-09-22T00:00:00"/>
        <d v="2022-03-20T00:00:00"/>
        <d v="2020-01-17T00:00:00"/>
        <d v="2023-07-20T00:00:00"/>
        <d v="2021-09-22T00:00:00"/>
        <d v="2022-08-18T00:00:00"/>
        <d v="2017-04-05T00:00:00"/>
        <d v="2019-11-07T00:00:00"/>
        <d v="2021-09-09T00:00:00"/>
        <d v="2015-12-09T00:00:00"/>
        <d v="2019-01-29T00:00:00"/>
        <d v="2022-01-12T00:00:00"/>
        <d v="2025-08-08T00:00:00"/>
        <d v="2022-11-03T00:00:00"/>
        <d v="2018-06-29T00:00:00"/>
        <d v="2017-07-11T00:00:00"/>
        <d v="2017-10-01T00:00:00"/>
        <d v="2023-04-01T00:00:00"/>
        <d v="2018-02-23T00:00:00"/>
        <d v="2017-11-13T00:00:00"/>
        <d v="2019-08-27T00:00:00"/>
        <d v="2022-05-28T00:00:00"/>
        <d v="2019-01-20T00:00:00"/>
        <d v="2025-08-19T00:00:00"/>
        <d v="2022-12-31T00:00:00"/>
        <d v="2021-02-14T00:00:00"/>
        <d v="2020-05-22T00:00:00"/>
        <d v="2019-09-19T00:00:00"/>
        <d v="2019-10-20T00:00:00"/>
        <d v="2018-10-01T00:00:00"/>
        <d v="2020-12-25T00:00:00"/>
        <d v="2021-05-26T00:00:00"/>
        <d v="2023-01-28T00:00:00"/>
        <d v="2022-09-15T00:00:00"/>
        <d v="2024-04-10T00:00:00"/>
        <d v="2015-10-18T00:00:00"/>
        <d v="2016-07-30T00:00:00"/>
        <d v="2016-03-13T00:00:00"/>
        <d v="2024-11-11T00:00:00"/>
        <d v="2019-11-04T00:00:00"/>
        <d v="2019-11-26T00:00:00"/>
        <d v="2019-12-12T00:00:00"/>
        <d v="2016-06-24T00:00:00"/>
        <d v="2017-11-08T00:00:00"/>
        <d v="2024-07-28T00:00:00"/>
        <d v="2019-10-12T00:00:00"/>
        <d v="2022-08-25T00:00:00"/>
        <d v="2015-10-07T00:00:00"/>
        <d v="2022-12-23T00:00:00"/>
        <d v="2016-12-27T00:00:00"/>
        <d v="2023-02-15T00:00:00"/>
        <d v="2021-12-08T00:00:00"/>
        <d v="2018-12-29T00:00:00"/>
        <d v="2020-06-13T00:00:00"/>
        <d v="2022-12-01T00:00:00"/>
        <d v="2021-08-02T00:00:00"/>
        <d v="2022-11-24T00:00:00"/>
        <d v="2023-08-19T00:00:00"/>
        <d v="2019-04-22T00:00:00"/>
        <d v="2020-04-26T00:00:00"/>
        <d v="2017-01-22T00:00:00"/>
        <d v="2021-01-24T00:00:00"/>
        <d v="2017-07-15T00:00:00"/>
        <d v="2018-11-18T00:00:00"/>
        <d v="2021-12-15T00:00:00"/>
        <d v="2016-01-15T00:00:00"/>
        <d v="2024-03-21T00:00:00"/>
        <d v="2020-12-11T00:00:00"/>
        <d v="2023-08-22T00:00:00"/>
        <d v="2025-02-14T00:00:00"/>
        <d v="2017-02-23T00:00:00"/>
        <d v="2020-09-26T00:00:00"/>
        <d v="2021-04-24T00:00:00"/>
        <d v="2019-02-27T00:00:00"/>
        <d v="2021-03-13T00:00:00"/>
        <d v="2023-11-16T00:00:00"/>
        <d v="2022-12-07T00:00:00"/>
        <d v="2017-12-28T00:00:00"/>
        <d v="2016-07-20T00:00:00"/>
        <d v="2019-09-13T00:00:00"/>
        <d v="2016-08-05T00:00:00"/>
        <d v="2018-11-07T00:00:00"/>
        <d v="2024-11-12T00:00:00"/>
        <d v="2023-02-08T00:00:00"/>
        <d v="2025-08-15T00:00:00"/>
        <d v="2017-10-14T00:00:00"/>
        <d v="2024-10-30T00:00:00"/>
        <d v="2018-11-28T00:00:00"/>
        <d v="2017-03-08T00:00:00"/>
        <d v="2021-04-27T00:00:00"/>
        <d v="2021-11-23T00:00:00"/>
        <d v="2020-10-07T00:00:00"/>
        <d v="2017-01-12T00:00:00"/>
        <d v="2023-05-06T00:00:00"/>
        <d v="2019-06-01T00:00:00"/>
        <d v="2017-06-08T00:00:00"/>
        <d v="2023-07-26T00:00:00"/>
        <d v="2017-06-01T00:00:00"/>
        <d v="2019-11-05T00:00:00"/>
        <d v="2019-05-14T00:00:00"/>
        <d v="2019-10-22T00:00:00"/>
        <d v="2023-12-21T00:00:00"/>
        <d v="2023-04-21T00:00:00"/>
        <d v="2024-02-06T00:00:00"/>
        <d v="2018-06-23T00:00:00"/>
        <d v="2023-02-07T00:00:00"/>
        <d v="2022-05-11T00:00:00"/>
        <d v="2018-07-04T00:00:00"/>
        <d v="2017-12-05T00:00:00"/>
        <d v="2022-04-15T00:00:00"/>
        <d v="2021-09-20T00:00:00"/>
        <d v="2023-03-09T00:00:00"/>
        <d v="2021-10-24T00:00:00"/>
        <d v="2020-07-20T00:00:00"/>
        <d v="2024-07-13T00:00:00"/>
        <d v="2016-07-29T00:00:00"/>
        <d v="2024-04-30T00:00:00"/>
        <d v="2019-07-23T00:00:00"/>
        <d v="2021-12-27T00:00:00"/>
        <d v="2016-01-17T00:00:00"/>
        <d v="2016-02-16T00:00:00"/>
        <d v="2024-06-26T00:00:00"/>
        <d v="2020-01-19T00:00:00"/>
        <d v="2021-06-10T00:00:00"/>
        <d v="2018-10-28T00:00:00"/>
        <d v="2019-09-18T00:00:00"/>
        <d v="2024-07-11T00:00:00"/>
        <d v="2017-10-20T00:00:00"/>
        <d v="2025-05-24T00:00:00"/>
        <d v="2021-10-29T00:00:00"/>
        <d v="2024-01-28T00:00:00"/>
        <d v="2017-08-07T00:00:00"/>
        <d v="2021-05-29T00:00:00"/>
        <d v="2025-01-07T00:00:00"/>
        <d v="2018-09-26T00:00:00"/>
        <d v="2020-09-09T00:00:00"/>
        <d v="2020-10-19T00:00:00"/>
        <d v="2019-01-23T00:00:00"/>
        <d v="2015-11-17T00:00:00"/>
        <d v="2016-08-20T00:00:00"/>
        <d v="2024-07-03T00:00:00"/>
        <d v="2016-02-11T00:00:00"/>
        <d v="2019-03-29T00:00:00"/>
        <d v="2024-08-08T00:00:00"/>
        <d v="2023-06-10T00:00:00"/>
        <d v="2018-09-03T00:00:00"/>
        <d v="2024-11-25T00:00:00"/>
        <d v="2023-02-18T00:00:00"/>
        <d v="2025-01-24T00:00:00"/>
        <d v="2023-06-27T00:00:00"/>
        <d v="2022-08-27T00:00:00"/>
        <d v="2022-08-05T00:00:00"/>
        <d v="2022-10-25T00:00:00"/>
        <d v="2024-04-11T00:00:00"/>
        <d v="2021-03-12T00:00:00"/>
        <d v="2022-01-24T00:00:00"/>
        <d v="2017-07-04T00:00:00"/>
        <d v="2024-06-08T00:00:00"/>
        <d v="2016-07-10T00:00:00"/>
        <d v="2024-05-31T00:00:00"/>
        <d v="2024-07-15T00:00:00"/>
      </sharedItems>
      <fieldGroup par="13" base="8">
        <rangePr groupBy="months" startDate="2015-08-23T00:00:00" endDate="2025-08-23T00:00:00"/>
        <groupItems count="14">
          <s v="&lt;8/23/2015"/>
          <s v="Jan"/>
          <s v="Feb"/>
          <s v="Mar"/>
          <s v="Apr"/>
          <s v="May"/>
          <s v="Jun"/>
          <s v="Jul"/>
          <s v="Aug"/>
          <s v="Sep"/>
          <s v="Oct"/>
          <s v="Nov"/>
          <s v="Dec"/>
          <s v="&gt;8/23/2025"/>
        </groupItems>
      </fieldGroup>
    </cacheField>
    <cacheField name="Age Group" numFmtId="49">
      <sharedItems count="4">
        <s v="Adult"/>
        <s v="Young Adult"/>
        <s v="Old"/>
        <s v="Teenager"/>
      </sharedItems>
    </cacheField>
    <cacheField name="Income Bracket" numFmtId="49">
      <sharedItems/>
    </cacheField>
    <cacheField name="Tenure" numFmtId="0">
      <sharedItems/>
    </cacheField>
    <cacheField name="Quarters" numFmtId="0" databaseField="0">
      <fieldGroup base="8">
        <rangePr groupBy="quarters" startDate="2015-08-23T00:00:00" endDate="2025-08-23T00:00:00"/>
        <groupItems count="6">
          <s v="&lt;8/23/2015"/>
          <s v="Qtr1"/>
          <s v="Qtr2"/>
          <s v="Qtr3"/>
          <s v="Qtr4"/>
          <s v="&gt;8/23/2025"/>
        </groupItems>
      </fieldGroup>
    </cacheField>
    <cacheField name="Years" numFmtId="0" databaseField="0">
      <fieldGroup base="8">
        <rangePr groupBy="years" startDate="2015-08-23T00:00:00" endDate="2025-08-23T00:00:00"/>
        <groupItems count="13">
          <s v="&lt;8/23/2015"/>
          <s v="2015"/>
          <s v="2016"/>
          <s v="2017"/>
          <s v="2018"/>
          <s v="2019"/>
          <s v="2020"/>
          <s v="2021"/>
          <s v="2022"/>
          <s v="2023"/>
          <s v="2024"/>
          <s v="2025"/>
          <s v="&gt;8/23/2025"/>
        </groupItems>
      </fieldGroup>
    </cacheField>
  </cacheFields>
  <extLst>
    <ext xmlns:x14="http://schemas.microsoft.com/office/spreadsheetml/2009/9/main" uri="{725AE2AE-9491-48be-B2B4-4EB974FC3084}">
      <x14:pivotCacheDefinition pivotCacheId="909608139"/>
    </ext>
  </extLst>
</pivotCacheDefinition>
</file>

<file path=xl/pivotCache/pivotCacheRecords1.xml><?xml version="1.0" encoding="utf-8"?>
<pivotCacheRecords xmlns="http://schemas.openxmlformats.org/spreadsheetml/2006/main" xmlns:r="http://schemas.openxmlformats.org/officeDocument/2006/relationships" count="500">
  <r>
    <x v="0"/>
    <x v="0"/>
    <x v="0"/>
    <n v="38"/>
    <x v="0"/>
    <x v="0"/>
    <n v="191672"/>
    <x v="0"/>
    <x v="0"/>
    <x v="0"/>
    <s v="Premium"/>
    <s v="2yrs"/>
  </r>
  <r>
    <x v="1"/>
    <x v="1"/>
    <x v="1"/>
    <n v="49"/>
    <x v="1"/>
    <x v="1"/>
    <n v="186472"/>
    <x v="1"/>
    <x v="1"/>
    <x v="0"/>
    <s v="Premium"/>
    <s v="4yrs"/>
  </r>
  <r>
    <x v="2"/>
    <x v="2"/>
    <x v="0"/>
    <n v="40"/>
    <x v="0"/>
    <x v="2"/>
    <n v="155566"/>
    <x v="2"/>
    <x v="2"/>
    <x v="0"/>
    <s v="Premium"/>
    <s v="6yrs"/>
  </r>
  <r>
    <x v="3"/>
    <x v="3"/>
    <x v="0"/>
    <n v="50"/>
    <x v="0"/>
    <x v="3"/>
    <n v="142744"/>
    <x v="0"/>
    <x v="3"/>
    <x v="0"/>
    <s v="High"/>
    <s v="3yrs"/>
  </r>
  <r>
    <x v="4"/>
    <x v="4"/>
    <x v="0"/>
    <n v="20"/>
    <x v="2"/>
    <x v="4"/>
    <n v="109431"/>
    <x v="1"/>
    <x v="4"/>
    <x v="1"/>
    <s v="High"/>
    <s v="7yrs"/>
  </r>
  <r>
    <x v="5"/>
    <x v="5"/>
    <x v="1"/>
    <n v="35"/>
    <x v="3"/>
    <x v="2"/>
    <n v="63001"/>
    <x v="0"/>
    <x v="5"/>
    <x v="0"/>
    <s v="Medium"/>
    <s v="9yrs"/>
  </r>
  <r>
    <x v="6"/>
    <x v="6"/>
    <x v="0"/>
    <n v="42"/>
    <x v="0"/>
    <x v="5"/>
    <n v="87364"/>
    <x v="1"/>
    <x v="6"/>
    <x v="0"/>
    <s v="Medium"/>
    <s v="7yrs"/>
  </r>
  <r>
    <x v="7"/>
    <x v="7"/>
    <x v="0"/>
    <n v="59"/>
    <x v="0"/>
    <x v="5"/>
    <n v="144988"/>
    <x v="0"/>
    <x v="7"/>
    <x v="2"/>
    <s v="High"/>
    <s v="1yrs"/>
  </r>
  <r>
    <x v="8"/>
    <x v="8"/>
    <x v="0"/>
    <n v="48"/>
    <x v="2"/>
    <x v="6"/>
    <n v="65028"/>
    <x v="1"/>
    <x v="8"/>
    <x v="0"/>
    <s v="Medium"/>
    <s v="6yrs"/>
  </r>
  <r>
    <x v="9"/>
    <x v="9"/>
    <x v="1"/>
    <n v="71"/>
    <x v="2"/>
    <x v="1"/>
    <n v="188645"/>
    <x v="1"/>
    <x v="9"/>
    <x v="2"/>
    <s v="Premium"/>
    <s v="9yrs"/>
  </r>
  <r>
    <x v="10"/>
    <x v="10"/>
    <x v="0"/>
    <n v="20"/>
    <x v="3"/>
    <x v="0"/>
    <n v="151878"/>
    <x v="2"/>
    <x v="10"/>
    <x v="1"/>
    <s v="Premium"/>
    <s v="8yrs"/>
  </r>
  <r>
    <x v="11"/>
    <x v="11"/>
    <x v="0"/>
    <n v="57"/>
    <x v="2"/>
    <x v="1"/>
    <n v="144343"/>
    <x v="1"/>
    <x v="11"/>
    <x v="0"/>
    <s v="High"/>
    <s v="1yrs"/>
  </r>
  <r>
    <x v="12"/>
    <x v="12"/>
    <x v="0"/>
    <n v="63"/>
    <x v="1"/>
    <x v="1"/>
    <n v="148301"/>
    <x v="0"/>
    <x v="12"/>
    <x v="2"/>
    <s v="High"/>
    <s v="2yrs"/>
  </r>
  <r>
    <x v="13"/>
    <x v="13"/>
    <x v="0"/>
    <n v="41"/>
    <x v="2"/>
    <x v="1"/>
    <n v="146295"/>
    <x v="1"/>
    <x v="13"/>
    <x v="0"/>
    <s v="High"/>
    <s v="8yrs"/>
  </r>
  <r>
    <x v="14"/>
    <x v="14"/>
    <x v="1"/>
    <n v="67"/>
    <x v="1"/>
    <x v="1"/>
    <n v="180829"/>
    <x v="1"/>
    <x v="14"/>
    <x v="2"/>
    <s v="Premium"/>
    <s v="6yrs"/>
  </r>
  <r>
    <x v="15"/>
    <x v="15"/>
    <x v="0"/>
    <n v="49"/>
    <x v="3"/>
    <x v="3"/>
    <n v="54636"/>
    <x v="0"/>
    <x v="15"/>
    <x v="0"/>
    <s v="Medium"/>
    <s v="6yrs"/>
  </r>
  <r>
    <x v="16"/>
    <x v="16"/>
    <x v="1"/>
    <n v="64"/>
    <x v="3"/>
    <x v="3"/>
    <n v="199352"/>
    <x v="0"/>
    <x v="16"/>
    <x v="2"/>
    <s v="Premium"/>
    <s v="4yrs"/>
  </r>
  <r>
    <x v="17"/>
    <x v="17"/>
    <x v="1"/>
    <n v="39"/>
    <x v="3"/>
    <x v="6"/>
    <n v="44262"/>
    <x v="2"/>
    <x v="17"/>
    <x v="0"/>
    <s v="Low"/>
    <s v="0yrs"/>
  </r>
  <r>
    <x v="18"/>
    <x v="18"/>
    <x v="1"/>
    <n v="40"/>
    <x v="3"/>
    <x v="2"/>
    <n v="100435"/>
    <x v="1"/>
    <x v="18"/>
    <x v="0"/>
    <s v="High"/>
    <s v="4yrs"/>
  </r>
  <r>
    <x v="19"/>
    <x v="19"/>
    <x v="0"/>
    <n v="19"/>
    <x v="3"/>
    <x v="5"/>
    <n v="148583"/>
    <x v="1"/>
    <x v="19"/>
    <x v="1"/>
    <s v="High"/>
    <s v="2yrs"/>
  </r>
  <r>
    <x v="20"/>
    <x v="20"/>
    <x v="1"/>
    <n v="44"/>
    <x v="1"/>
    <x v="1"/>
    <n v="189269"/>
    <x v="0"/>
    <x v="20"/>
    <x v="0"/>
    <s v="Premium"/>
    <s v="1yrs"/>
  </r>
  <r>
    <x v="21"/>
    <x v="21"/>
    <x v="0"/>
    <n v="59"/>
    <x v="1"/>
    <x v="6"/>
    <n v="61844"/>
    <x v="1"/>
    <x v="21"/>
    <x v="2"/>
    <s v="Medium"/>
    <s v="2yrs"/>
  </r>
  <r>
    <x v="22"/>
    <x v="22"/>
    <x v="1"/>
    <n v="19"/>
    <x v="3"/>
    <x v="2"/>
    <n v="84754"/>
    <x v="0"/>
    <x v="22"/>
    <x v="1"/>
    <s v="Medium"/>
    <s v="3yrs"/>
  </r>
  <r>
    <x v="23"/>
    <x v="23"/>
    <x v="1"/>
    <n v="43"/>
    <x v="2"/>
    <x v="5"/>
    <n v="185229"/>
    <x v="1"/>
    <x v="23"/>
    <x v="0"/>
    <s v="Premium"/>
    <s v="8yrs"/>
  </r>
  <r>
    <x v="24"/>
    <x v="24"/>
    <x v="1"/>
    <n v="34"/>
    <x v="0"/>
    <x v="4"/>
    <n v="97129"/>
    <x v="0"/>
    <x v="24"/>
    <x v="0"/>
    <s v="Medium"/>
    <s v="6yrs"/>
  </r>
  <r>
    <x v="25"/>
    <x v="25"/>
    <x v="1"/>
    <n v="57"/>
    <x v="3"/>
    <x v="0"/>
    <n v="60042"/>
    <x v="1"/>
    <x v="25"/>
    <x v="0"/>
    <s v="Medium"/>
    <s v="4yrs"/>
  </r>
  <r>
    <x v="26"/>
    <x v="26"/>
    <x v="1"/>
    <n v="50"/>
    <x v="2"/>
    <x v="3"/>
    <n v="81665"/>
    <x v="2"/>
    <x v="26"/>
    <x v="0"/>
    <s v="Medium"/>
    <s v="9yrs"/>
  </r>
  <r>
    <x v="27"/>
    <x v="27"/>
    <x v="1"/>
    <n v="26"/>
    <x v="0"/>
    <x v="4"/>
    <n v="136953"/>
    <x v="0"/>
    <x v="27"/>
    <x v="0"/>
    <s v="High"/>
    <s v="6yrs"/>
  </r>
  <r>
    <x v="28"/>
    <x v="28"/>
    <x v="1"/>
    <n v="60"/>
    <x v="3"/>
    <x v="5"/>
    <n v="178448"/>
    <x v="2"/>
    <x v="28"/>
    <x v="2"/>
    <s v="Premium"/>
    <s v="3yrs"/>
  </r>
  <r>
    <x v="29"/>
    <x v="29"/>
    <x v="1"/>
    <n v="71"/>
    <x v="3"/>
    <x v="4"/>
    <n v="165271"/>
    <x v="0"/>
    <x v="29"/>
    <x v="2"/>
    <s v="Premium"/>
    <s v="4yrs"/>
  </r>
  <r>
    <x v="30"/>
    <x v="30"/>
    <x v="0"/>
    <n v="65"/>
    <x v="1"/>
    <x v="0"/>
    <n v="138533"/>
    <x v="1"/>
    <x v="30"/>
    <x v="2"/>
    <s v="High"/>
    <s v="8yrs"/>
  </r>
  <r>
    <x v="31"/>
    <x v="31"/>
    <x v="0"/>
    <n v="56"/>
    <x v="0"/>
    <x v="6"/>
    <n v="93781"/>
    <x v="1"/>
    <x v="31"/>
    <x v="0"/>
    <s v="Medium"/>
    <s v="9yrs"/>
  </r>
  <r>
    <x v="32"/>
    <x v="32"/>
    <x v="1"/>
    <n v="46"/>
    <x v="0"/>
    <x v="5"/>
    <n v="86262"/>
    <x v="0"/>
    <x v="27"/>
    <x v="0"/>
    <s v="Medium"/>
    <s v="6yrs"/>
  </r>
  <r>
    <x v="33"/>
    <x v="33"/>
    <x v="1"/>
    <n v="59"/>
    <x v="2"/>
    <x v="4"/>
    <n v="66600"/>
    <x v="1"/>
    <x v="32"/>
    <x v="2"/>
    <s v="Medium"/>
    <s v="3yrs"/>
  </r>
  <r>
    <x v="34"/>
    <x v="34"/>
    <x v="1"/>
    <n v="72"/>
    <x v="1"/>
    <x v="3"/>
    <n v="96898"/>
    <x v="1"/>
    <x v="33"/>
    <x v="2"/>
    <s v="Medium"/>
    <s v="9yrs"/>
  </r>
  <r>
    <x v="35"/>
    <x v="35"/>
    <x v="0"/>
    <n v="43"/>
    <x v="1"/>
    <x v="3"/>
    <n v="169369"/>
    <x v="0"/>
    <x v="34"/>
    <x v="0"/>
    <s v="Premium"/>
    <s v="8yrs"/>
  </r>
  <r>
    <x v="36"/>
    <x v="36"/>
    <x v="1"/>
    <n v="52"/>
    <x v="1"/>
    <x v="2"/>
    <n v="50448"/>
    <x v="0"/>
    <x v="35"/>
    <x v="0"/>
    <s v="Medium"/>
    <s v="8yrs"/>
  </r>
  <r>
    <x v="37"/>
    <x v="37"/>
    <x v="0"/>
    <n v="67"/>
    <x v="1"/>
    <x v="4"/>
    <n v="46172"/>
    <x v="1"/>
    <x v="36"/>
    <x v="2"/>
    <s v="Low"/>
    <s v="3yrs"/>
  </r>
  <r>
    <x v="38"/>
    <x v="38"/>
    <x v="0"/>
    <n v="42"/>
    <x v="0"/>
    <x v="1"/>
    <n v="193946"/>
    <x v="1"/>
    <x v="37"/>
    <x v="0"/>
    <s v="Premium"/>
    <s v="5yrs"/>
  </r>
  <r>
    <x v="39"/>
    <x v="39"/>
    <x v="0"/>
    <n v="41"/>
    <x v="0"/>
    <x v="4"/>
    <n v="27657"/>
    <x v="1"/>
    <x v="38"/>
    <x v="0"/>
    <s v="Low"/>
    <s v="9yrs"/>
  </r>
  <r>
    <x v="40"/>
    <x v="40"/>
    <x v="0"/>
    <n v="30"/>
    <x v="3"/>
    <x v="6"/>
    <n v="176497"/>
    <x v="1"/>
    <x v="39"/>
    <x v="0"/>
    <s v="Premium"/>
    <s v="8yrs"/>
  </r>
  <r>
    <x v="41"/>
    <x v="41"/>
    <x v="0"/>
    <n v="24"/>
    <x v="3"/>
    <x v="5"/>
    <n v="177757"/>
    <x v="0"/>
    <x v="40"/>
    <x v="0"/>
    <s v="Premium"/>
    <s v="9yrs"/>
  </r>
  <r>
    <x v="42"/>
    <x v="42"/>
    <x v="1"/>
    <n v="74"/>
    <x v="1"/>
    <x v="5"/>
    <n v="132855"/>
    <x v="1"/>
    <x v="41"/>
    <x v="2"/>
    <s v="High"/>
    <s v="3yrs"/>
  </r>
  <r>
    <x v="43"/>
    <x v="43"/>
    <x v="1"/>
    <n v="53"/>
    <x v="1"/>
    <x v="6"/>
    <n v="175650"/>
    <x v="0"/>
    <x v="42"/>
    <x v="0"/>
    <s v="Premium"/>
    <s v="4yrs"/>
  </r>
  <r>
    <x v="44"/>
    <x v="44"/>
    <x v="1"/>
    <n v="62"/>
    <x v="1"/>
    <x v="4"/>
    <n v="179903"/>
    <x v="0"/>
    <x v="43"/>
    <x v="2"/>
    <s v="Premium"/>
    <s v="6yrs"/>
  </r>
  <r>
    <x v="45"/>
    <x v="45"/>
    <x v="1"/>
    <n v="37"/>
    <x v="3"/>
    <x v="6"/>
    <n v="27906"/>
    <x v="0"/>
    <x v="44"/>
    <x v="0"/>
    <s v="Low"/>
    <s v="4yrs"/>
  </r>
  <r>
    <x v="46"/>
    <x v="46"/>
    <x v="1"/>
    <n v="18"/>
    <x v="2"/>
    <x v="0"/>
    <n v="81413"/>
    <x v="0"/>
    <x v="45"/>
    <x v="3"/>
    <s v="Medium"/>
    <s v="8yrs"/>
  </r>
  <r>
    <x v="47"/>
    <x v="47"/>
    <x v="0"/>
    <n v="25"/>
    <x v="2"/>
    <x v="6"/>
    <n v="74028"/>
    <x v="0"/>
    <x v="46"/>
    <x v="0"/>
    <s v="Medium"/>
    <s v="1yrs"/>
  </r>
  <r>
    <x v="48"/>
    <x v="48"/>
    <x v="1"/>
    <n v="63"/>
    <x v="3"/>
    <x v="3"/>
    <n v="27287"/>
    <x v="0"/>
    <x v="47"/>
    <x v="2"/>
    <s v="Low"/>
    <s v="8yrs"/>
  </r>
  <r>
    <x v="49"/>
    <x v="49"/>
    <x v="1"/>
    <n v="33"/>
    <x v="3"/>
    <x v="6"/>
    <n v="53660"/>
    <x v="1"/>
    <x v="48"/>
    <x v="0"/>
    <s v="Medium"/>
    <s v="2yrs"/>
  </r>
  <r>
    <x v="50"/>
    <x v="50"/>
    <x v="0"/>
    <n v="31"/>
    <x v="3"/>
    <x v="5"/>
    <n v="80504"/>
    <x v="0"/>
    <x v="49"/>
    <x v="0"/>
    <s v="Medium"/>
    <s v="9yrs"/>
  </r>
  <r>
    <x v="51"/>
    <x v="51"/>
    <x v="1"/>
    <n v="29"/>
    <x v="3"/>
    <x v="3"/>
    <n v="122979"/>
    <x v="0"/>
    <x v="50"/>
    <x v="0"/>
    <s v="High"/>
    <s v="2yrs"/>
  </r>
  <r>
    <x v="52"/>
    <x v="52"/>
    <x v="0"/>
    <n v="68"/>
    <x v="3"/>
    <x v="5"/>
    <n v="54701"/>
    <x v="0"/>
    <x v="51"/>
    <x v="2"/>
    <s v="Medium"/>
    <s v="3yrs"/>
  </r>
  <r>
    <x v="53"/>
    <x v="53"/>
    <x v="1"/>
    <n v="40"/>
    <x v="3"/>
    <x v="2"/>
    <n v="103300"/>
    <x v="0"/>
    <x v="52"/>
    <x v="0"/>
    <s v="High"/>
    <s v="5yrs"/>
  </r>
  <r>
    <x v="54"/>
    <x v="54"/>
    <x v="0"/>
    <n v="32"/>
    <x v="1"/>
    <x v="1"/>
    <n v="168746"/>
    <x v="0"/>
    <x v="53"/>
    <x v="0"/>
    <s v="Premium"/>
    <s v="2yrs"/>
  </r>
  <r>
    <x v="55"/>
    <x v="55"/>
    <x v="1"/>
    <n v="45"/>
    <x v="1"/>
    <x v="5"/>
    <n v="103560"/>
    <x v="0"/>
    <x v="54"/>
    <x v="0"/>
    <s v="High"/>
    <s v="3yrs"/>
  </r>
  <r>
    <x v="56"/>
    <x v="56"/>
    <x v="1"/>
    <n v="51"/>
    <x v="1"/>
    <x v="3"/>
    <n v="174946"/>
    <x v="1"/>
    <x v="55"/>
    <x v="0"/>
    <s v="Premium"/>
    <s v="6yrs"/>
  </r>
  <r>
    <x v="57"/>
    <x v="57"/>
    <x v="0"/>
    <n v="19"/>
    <x v="1"/>
    <x v="2"/>
    <n v="63642"/>
    <x v="1"/>
    <x v="56"/>
    <x v="1"/>
    <s v="Medium"/>
    <s v="6yrs"/>
  </r>
  <r>
    <x v="58"/>
    <x v="58"/>
    <x v="0"/>
    <n v="49"/>
    <x v="3"/>
    <x v="5"/>
    <n v="85160"/>
    <x v="1"/>
    <x v="57"/>
    <x v="0"/>
    <s v="Medium"/>
    <s v="1yrs"/>
  </r>
  <r>
    <x v="59"/>
    <x v="59"/>
    <x v="0"/>
    <n v="40"/>
    <x v="2"/>
    <x v="0"/>
    <n v="37602"/>
    <x v="0"/>
    <x v="58"/>
    <x v="0"/>
    <s v="Low"/>
    <s v="6yrs"/>
  </r>
  <r>
    <x v="60"/>
    <x v="60"/>
    <x v="0"/>
    <n v="39"/>
    <x v="0"/>
    <x v="6"/>
    <n v="123320"/>
    <x v="0"/>
    <x v="59"/>
    <x v="0"/>
    <s v="High"/>
    <s v="2yrs"/>
  </r>
  <r>
    <x v="61"/>
    <x v="61"/>
    <x v="0"/>
    <n v="68"/>
    <x v="3"/>
    <x v="1"/>
    <n v="108801"/>
    <x v="1"/>
    <x v="60"/>
    <x v="2"/>
    <s v="High"/>
    <s v="0yrs"/>
  </r>
  <r>
    <x v="62"/>
    <x v="62"/>
    <x v="0"/>
    <n v="42"/>
    <x v="0"/>
    <x v="5"/>
    <n v="45931"/>
    <x v="0"/>
    <x v="61"/>
    <x v="0"/>
    <s v="Low"/>
    <s v="2yrs"/>
  </r>
  <r>
    <x v="63"/>
    <x v="63"/>
    <x v="0"/>
    <n v="39"/>
    <x v="2"/>
    <x v="2"/>
    <n v="114377"/>
    <x v="0"/>
    <x v="62"/>
    <x v="0"/>
    <s v="High"/>
    <s v="2yrs"/>
  </r>
  <r>
    <x v="64"/>
    <x v="64"/>
    <x v="0"/>
    <n v="39"/>
    <x v="1"/>
    <x v="0"/>
    <n v="49192"/>
    <x v="0"/>
    <x v="63"/>
    <x v="0"/>
    <s v="Low"/>
    <s v="4yrs"/>
  </r>
  <r>
    <x v="65"/>
    <x v="65"/>
    <x v="1"/>
    <n v="66"/>
    <x v="2"/>
    <x v="4"/>
    <n v="66542"/>
    <x v="0"/>
    <x v="64"/>
    <x v="2"/>
    <s v="Medium"/>
    <s v="7yrs"/>
  </r>
  <r>
    <x v="66"/>
    <x v="66"/>
    <x v="1"/>
    <n v="69"/>
    <x v="3"/>
    <x v="2"/>
    <n v="147015"/>
    <x v="0"/>
    <x v="65"/>
    <x v="2"/>
    <s v="High"/>
    <s v="2yrs"/>
  </r>
  <r>
    <x v="67"/>
    <x v="67"/>
    <x v="0"/>
    <n v="59"/>
    <x v="1"/>
    <x v="6"/>
    <n v="62520"/>
    <x v="0"/>
    <x v="66"/>
    <x v="2"/>
    <s v="Medium"/>
    <s v="7yrs"/>
  </r>
  <r>
    <x v="68"/>
    <x v="68"/>
    <x v="1"/>
    <n v="23"/>
    <x v="3"/>
    <x v="2"/>
    <n v="84772"/>
    <x v="0"/>
    <x v="67"/>
    <x v="0"/>
    <s v="Medium"/>
    <s v="7yrs"/>
  </r>
  <r>
    <x v="69"/>
    <x v="69"/>
    <x v="1"/>
    <n v="32"/>
    <x v="1"/>
    <x v="0"/>
    <n v="70106"/>
    <x v="0"/>
    <x v="68"/>
    <x v="0"/>
    <s v="Medium"/>
    <s v="1yrs"/>
  </r>
  <r>
    <x v="70"/>
    <x v="70"/>
    <x v="1"/>
    <n v="71"/>
    <x v="0"/>
    <x v="2"/>
    <n v="101121"/>
    <x v="1"/>
    <x v="69"/>
    <x v="2"/>
    <s v="High"/>
    <s v="0yrs"/>
  </r>
  <r>
    <x v="71"/>
    <x v="71"/>
    <x v="1"/>
    <n v="60"/>
    <x v="0"/>
    <x v="0"/>
    <n v="45559"/>
    <x v="1"/>
    <x v="70"/>
    <x v="2"/>
    <s v="Low"/>
    <s v="9yrs"/>
  </r>
  <r>
    <x v="72"/>
    <x v="72"/>
    <x v="0"/>
    <n v="54"/>
    <x v="0"/>
    <x v="5"/>
    <n v="125595"/>
    <x v="1"/>
    <x v="71"/>
    <x v="0"/>
    <s v="High"/>
    <s v="5yrs"/>
  </r>
  <r>
    <x v="73"/>
    <x v="73"/>
    <x v="1"/>
    <n v="50"/>
    <x v="2"/>
    <x v="0"/>
    <n v="53742"/>
    <x v="1"/>
    <x v="72"/>
    <x v="0"/>
    <s v="Medium"/>
    <s v="0yrs"/>
  </r>
  <r>
    <x v="74"/>
    <x v="74"/>
    <x v="0"/>
    <n v="25"/>
    <x v="3"/>
    <x v="0"/>
    <n v="89669"/>
    <x v="2"/>
    <x v="4"/>
    <x v="0"/>
    <s v="Medium"/>
    <s v="7yrs"/>
  </r>
  <r>
    <x v="75"/>
    <x v="75"/>
    <x v="1"/>
    <n v="70"/>
    <x v="2"/>
    <x v="1"/>
    <n v="172826"/>
    <x v="0"/>
    <x v="73"/>
    <x v="2"/>
    <s v="Premium"/>
    <s v="8yrs"/>
  </r>
  <r>
    <x v="76"/>
    <x v="76"/>
    <x v="1"/>
    <n v="61"/>
    <x v="0"/>
    <x v="0"/>
    <n v="155044"/>
    <x v="0"/>
    <x v="74"/>
    <x v="2"/>
    <s v="Premium"/>
    <s v="3yrs"/>
  </r>
  <r>
    <x v="77"/>
    <x v="77"/>
    <x v="1"/>
    <n v="61"/>
    <x v="3"/>
    <x v="0"/>
    <n v="90831"/>
    <x v="0"/>
    <x v="75"/>
    <x v="2"/>
    <s v="Medium"/>
    <s v="7yrs"/>
  </r>
  <r>
    <x v="78"/>
    <x v="78"/>
    <x v="0"/>
    <n v="22"/>
    <x v="0"/>
    <x v="4"/>
    <n v="132217"/>
    <x v="1"/>
    <x v="76"/>
    <x v="0"/>
    <s v="High"/>
    <s v="3yrs"/>
  </r>
  <r>
    <x v="79"/>
    <x v="79"/>
    <x v="1"/>
    <n v="56"/>
    <x v="2"/>
    <x v="5"/>
    <n v="61873"/>
    <x v="1"/>
    <x v="77"/>
    <x v="0"/>
    <s v="Medium"/>
    <s v="7yrs"/>
  </r>
  <r>
    <x v="80"/>
    <x v="80"/>
    <x v="0"/>
    <n v="21"/>
    <x v="2"/>
    <x v="6"/>
    <n v="126532"/>
    <x v="0"/>
    <x v="78"/>
    <x v="0"/>
    <s v="High"/>
    <s v="2yrs"/>
  </r>
  <r>
    <x v="81"/>
    <x v="81"/>
    <x v="1"/>
    <n v="23"/>
    <x v="2"/>
    <x v="1"/>
    <n v="146267"/>
    <x v="2"/>
    <x v="79"/>
    <x v="0"/>
    <s v="High"/>
    <s v="0yrs"/>
  </r>
  <r>
    <x v="82"/>
    <x v="82"/>
    <x v="0"/>
    <n v="62"/>
    <x v="0"/>
    <x v="4"/>
    <n v="160975"/>
    <x v="0"/>
    <x v="80"/>
    <x v="2"/>
    <s v="Premium"/>
    <s v="4yrs"/>
  </r>
  <r>
    <x v="83"/>
    <x v="83"/>
    <x v="1"/>
    <n v="49"/>
    <x v="3"/>
    <x v="3"/>
    <n v="154092"/>
    <x v="2"/>
    <x v="81"/>
    <x v="0"/>
    <s v="Premium"/>
    <s v="4yrs"/>
  </r>
  <r>
    <x v="84"/>
    <x v="84"/>
    <x v="0"/>
    <n v="69"/>
    <x v="3"/>
    <x v="5"/>
    <n v="61755"/>
    <x v="0"/>
    <x v="82"/>
    <x v="2"/>
    <s v="Medium"/>
    <s v="5yrs"/>
  </r>
  <r>
    <x v="85"/>
    <x v="85"/>
    <x v="0"/>
    <n v="47"/>
    <x v="0"/>
    <x v="5"/>
    <n v="105956"/>
    <x v="0"/>
    <x v="83"/>
    <x v="0"/>
    <s v="High"/>
    <s v="4yrs"/>
  </r>
  <r>
    <x v="86"/>
    <x v="86"/>
    <x v="1"/>
    <n v="64"/>
    <x v="3"/>
    <x v="3"/>
    <n v="106988"/>
    <x v="0"/>
    <x v="84"/>
    <x v="2"/>
    <s v="High"/>
    <s v="0yrs"/>
  </r>
  <r>
    <x v="87"/>
    <x v="87"/>
    <x v="0"/>
    <n v="52"/>
    <x v="0"/>
    <x v="6"/>
    <n v="65648"/>
    <x v="0"/>
    <x v="85"/>
    <x v="0"/>
    <s v="Medium"/>
    <s v="5yrs"/>
  </r>
  <r>
    <x v="88"/>
    <x v="88"/>
    <x v="1"/>
    <n v="72"/>
    <x v="3"/>
    <x v="0"/>
    <n v="145991"/>
    <x v="0"/>
    <x v="86"/>
    <x v="2"/>
    <s v="High"/>
    <s v="4yrs"/>
  </r>
  <r>
    <x v="89"/>
    <x v="89"/>
    <x v="1"/>
    <n v="57"/>
    <x v="1"/>
    <x v="4"/>
    <n v="160588"/>
    <x v="0"/>
    <x v="87"/>
    <x v="0"/>
    <s v="Premium"/>
    <s v="10yrs"/>
  </r>
  <r>
    <x v="90"/>
    <x v="90"/>
    <x v="1"/>
    <n v="69"/>
    <x v="1"/>
    <x v="2"/>
    <n v="135005"/>
    <x v="1"/>
    <x v="88"/>
    <x v="2"/>
    <s v="High"/>
    <s v="3yrs"/>
  </r>
  <r>
    <x v="91"/>
    <x v="91"/>
    <x v="1"/>
    <n v="33"/>
    <x v="2"/>
    <x v="1"/>
    <n v="22396"/>
    <x v="0"/>
    <x v="89"/>
    <x v="0"/>
    <s v="Low"/>
    <s v="9yrs"/>
  </r>
  <r>
    <x v="92"/>
    <x v="92"/>
    <x v="1"/>
    <n v="30"/>
    <x v="1"/>
    <x v="2"/>
    <n v="104082"/>
    <x v="0"/>
    <x v="90"/>
    <x v="0"/>
    <s v="High"/>
    <s v="7yrs"/>
  </r>
  <r>
    <x v="93"/>
    <x v="93"/>
    <x v="1"/>
    <n v="67"/>
    <x v="1"/>
    <x v="3"/>
    <n v="170201"/>
    <x v="1"/>
    <x v="91"/>
    <x v="2"/>
    <s v="Premium"/>
    <s v="1yrs"/>
  </r>
  <r>
    <x v="94"/>
    <x v="94"/>
    <x v="1"/>
    <n v="59"/>
    <x v="1"/>
    <x v="5"/>
    <n v="148322"/>
    <x v="1"/>
    <x v="92"/>
    <x v="2"/>
    <s v="High"/>
    <s v="4yrs"/>
  </r>
  <r>
    <x v="95"/>
    <x v="95"/>
    <x v="1"/>
    <n v="47"/>
    <x v="0"/>
    <x v="6"/>
    <n v="152663"/>
    <x v="0"/>
    <x v="93"/>
    <x v="0"/>
    <s v="Premium"/>
    <s v="8yrs"/>
  </r>
  <r>
    <x v="96"/>
    <x v="96"/>
    <x v="1"/>
    <n v="36"/>
    <x v="1"/>
    <x v="5"/>
    <n v="31303"/>
    <x v="0"/>
    <x v="64"/>
    <x v="0"/>
    <s v="Low"/>
    <s v="7yrs"/>
  </r>
  <r>
    <x v="97"/>
    <x v="97"/>
    <x v="1"/>
    <n v="34"/>
    <x v="1"/>
    <x v="1"/>
    <n v="181633"/>
    <x v="0"/>
    <x v="94"/>
    <x v="0"/>
    <s v="Premium"/>
    <s v="2yrs"/>
  </r>
  <r>
    <x v="98"/>
    <x v="98"/>
    <x v="1"/>
    <n v="73"/>
    <x v="2"/>
    <x v="5"/>
    <n v="91719"/>
    <x v="0"/>
    <x v="95"/>
    <x v="2"/>
    <s v="Medium"/>
    <s v="4yrs"/>
  </r>
  <r>
    <x v="99"/>
    <x v="99"/>
    <x v="0"/>
    <n v="36"/>
    <x v="1"/>
    <x v="5"/>
    <n v="119616"/>
    <x v="1"/>
    <x v="96"/>
    <x v="0"/>
    <s v="High"/>
    <s v="2yrs"/>
  </r>
  <r>
    <x v="100"/>
    <x v="100"/>
    <x v="0"/>
    <n v="45"/>
    <x v="1"/>
    <x v="1"/>
    <n v="144165"/>
    <x v="0"/>
    <x v="97"/>
    <x v="0"/>
    <s v="High"/>
    <s v="5yrs"/>
  </r>
  <r>
    <x v="101"/>
    <x v="101"/>
    <x v="1"/>
    <n v="72"/>
    <x v="3"/>
    <x v="4"/>
    <n v="106231"/>
    <x v="0"/>
    <x v="98"/>
    <x v="2"/>
    <s v="High"/>
    <s v="3yrs"/>
  </r>
  <r>
    <x v="102"/>
    <x v="102"/>
    <x v="1"/>
    <n v="43"/>
    <x v="2"/>
    <x v="4"/>
    <n v="27314"/>
    <x v="1"/>
    <x v="99"/>
    <x v="0"/>
    <s v="Low"/>
    <s v="3yrs"/>
  </r>
  <r>
    <x v="103"/>
    <x v="103"/>
    <x v="1"/>
    <n v="54"/>
    <x v="2"/>
    <x v="1"/>
    <n v="39623"/>
    <x v="0"/>
    <x v="100"/>
    <x v="0"/>
    <s v="Low"/>
    <s v="9yrs"/>
  </r>
  <r>
    <x v="104"/>
    <x v="104"/>
    <x v="1"/>
    <n v="43"/>
    <x v="2"/>
    <x v="6"/>
    <n v="125228"/>
    <x v="0"/>
    <x v="101"/>
    <x v="0"/>
    <s v="High"/>
    <s v="0yrs"/>
  </r>
  <r>
    <x v="105"/>
    <x v="105"/>
    <x v="1"/>
    <n v="70"/>
    <x v="2"/>
    <x v="3"/>
    <n v="184202"/>
    <x v="0"/>
    <x v="102"/>
    <x v="2"/>
    <s v="Premium"/>
    <s v="8yrs"/>
  </r>
  <r>
    <x v="106"/>
    <x v="106"/>
    <x v="1"/>
    <n v="40"/>
    <x v="2"/>
    <x v="5"/>
    <n v="117624"/>
    <x v="2"/>
    <x v="103"/>
    <x v="0"/>
    <s v="High"/>
    <s v="0yrs"/>
  </r>
  <r>
    <x v="107"/>
    <x v="107"/>
    <x v="1"/>
    <n v="26"/>
    <x v="2"/>
    <x v="6"/>
    <n v="177364"/>
    <x v="0"/>
    <x v="104"/>
    <x v="0"/>
    <s v="Premium"/>
    <s v="4yrs"/>
  </r>
  <r>
    <x v="108"/>
    <x v="108"/>
    <x v="1"/>
    <n v="29"/>
    <x v="0"/>
    <x v="5"/>
    <n v="131785"/>
    <x v="1"/>
    <x v="105"/>
    <x v="0"/>
    <s v="High"/>
    <s v="5yrs"/>
  </r>
  <r>
    <x v="109"/>
    <x v="109"/>
    <x v="0"/>
    <n v="70"/>
    <x v="1"/>
    <x v="3"/>
    <n v="106206"/>
    <x v="0"/>
    <x v="106"/>
    <x v="2"/>
    <s v="High"/>
    <s v="7yrs"/>
  </r>
  <r>
    <x v="110"/>
    <x v="110"/>
    <x v="1"/>
    <n v="18"/>
    <x v="2"/>
    <x v="4"/>
    <n v="89274"/>
    <x v="0"/>
    <x v="107"/>
    <x v="3"/>
    <s v="Medium"/>
    <s v="6yrs"/>
  </r>
  <r>
    <x v="111"/>
    <x v="111"/>
    <x v="0"/>
    <n v="18"/>
    <x v="1"/>
    <x v="6"/>
    <n v="153541"/>
    <x v="1"/>
    <x v="108"/>
    <x v="3"/>
    <s v="Premium"/>
    <s v="5yrs"/>
  </r>
  <r>
    <x v="112"/>
    <x v="112"/>
    <x v="1"/>
    <n v="64"/>
    <x v="1"/>
    <x v="0"/>
    <n v="73947"/>
    <x v="2"/>
    <x v="109"/>
    <x v="2"/>
    <s v="Medium"/>
    <s v="9yrs"/>
  </r>
  <r>
    <x v="113"/>
    <x v="113"/>
    <x v="1"/>
    <n v="51"/>
    <x v="0"/>
    <x v="0"/>
    <n v="173606"/>
    <x v="1"/>
    <x v="110"/>
    <x v="0"/>
    <s v="Premium"/>
    <s v="6yrs"/>
  </r>
  <r>
    <x v="114"/>
    <x v="114"/>
    <x v="0"/>
    <n v="49"/>
    <x v="2"/>
    <x v="0"/>
    <n v="68874"/>
    <x v="1"/>
    <x v="111"/>
    <x v="0"/>
    <s v="Medium"/>
    <s v="1yrs"/>
  </r>
  <r>
    <x v="115"/>
    <x v="115"/>
    <x v="1"/>
    <n v="71"/>
    <x v="3"/>
    <x v="4"/>
    <n v="69708"/>
    <x v="1"/>
    <x v="112"/>
    <x v="2"/>
    <s v="Medium"/>
    <s v="0yrs"/>
  </r>
  <r>
    <x v="116"/>
    <x v="116"/>
    <x v="0"/>
    <n v="65"/>
    <x v="0"/>
    <x v="4"/>
    <n v="94553"/>
    <x v="0"/>
    <x v="113"/>
    <x v="2"/>
    <s v="Medium"/>
    <s v="0yrs"/>
  </r>
  <r>
    <x v="117"/>
    <x v="117"/>
    <x v="1"/>
    <n v="42"/>
    <x v="3"/>
    <x v="3"/>
    <n v="88344"/>
    <x v="0"/>
    <x v="103"/>
    <x v="0"/>
    <s v="Medium"/>
    <s v="0yrs"/>
  </r>
  <r>
    <x v="118"/>
    <x v="118"/>
    <x v="1"/>
    <n v="57"/>
    <x v="1"/>
    <x v="5"/>
    <n v="69138"/>
    <x v="1"/>
    <x v="114"/>
    <x v="0"/>
    <s v="Medium"/>
    <s v="5yrs"/>
  </r>
  <r>
    <x v="119"/>
    <x v="119"/>
    <x v="0"/>
    <n v="62"/>
    <x v="1"/>
    <x v="3"/>
    <n v="67638"/>
    <x v="0"/>
    <x v="115"/>
    <x v="2"/>
    <s v="Medium"/>
    <s v="6yrs"/>
  </r>
  <r>
    <x v="120"/>
    <x v="120"/>
    <x v="1"/>
    <n v="70"/>
    <x v="0"/>
    <x v="3"/>
    <n v="98249"/>
    <x v="1"/>
    <x v="116"/>
    <x v="2"/>
    <s v="Medium"/>
    <s v="2yrs"/>
  </r>
  <r>
    <x v="121"/>
    <x v="121"/>
    <x v="0"/>
    <n v="18"/>
    <x v="0"/>
    <x v="4"/>
    <n v="125865"/>
    <x v="2"/>
    <x v="117"/>
    <x v="3"/>
    <s v="High"/>
    <s v="10yrs"/>
  </r>
  <r>
    <x v="122"/>
    <x v="122"/>
    <x v="1"/>
    <n v="33"/>
    <x v="3"/>
    <x v="0"/>
    <n v="22719"/>
    <x v="0"/>
    <x v="118"/>
    <x v="0"/>
    <s v="Low"/>
    <s v="8yrs"/>
  </r>
  <r>
    <x v="123"/>
    <x v="123"/>
    <x v="0"/>
    <n v="56"/>
    <x v="2"/>
    <x v="2"/>
    <n v="173962"/>
    <x v="0"/>
    <x v="41"/>
    <x v="0"/>
    <s v="Premium"/>
    <s v="3yrs"/>
  </r>
  <r>
    <x v="124"/>
    <x v="124"/>
    <x v="0"/>
    <n v="22"/>
    <x v="3"/>
    <x v="5"/>
    <n v="187581"/>
    <x v="1"/>
    <x v="119"/>
    <x v="0"/>
    <s v="Premium"/>
    <s v="8yrs"/>
  </r>
  <r>
    <x v="125"/>
    <x v="125"/>
    <x v="1"/>
    <n v="39"/>
    <x v="0"/>
    <x v="4"/>
    <n v="62534"/>
    <x v="0"/>
    <x v="120"/>
    <x v="0"/>
    <s v="Medium"/>
    <s v="5yrs"/>
  </r>
  <r>
    <x v="126"/>
    <x v="126"/>
    <x v="1"/>
    <n v="46"/>
    <x v="3"/>
    <x v="0"/>
    <n v="112241"/>
    <x v="1"/>
    <x v="121"/>
    <x v="0"/>
    <s v="High"/>
    <s v="9yrs"/>
  </r>
  <r>
    <x v="127"/>
    <x v="127"/>
    <x v="0"/>
    <n v="72"/>
    <x v="0"/>
    <x v="6"/>
    <n v="169859"/>
    <x v="0"/>
    <x v="122"/>
    <x v="2"/>
    <s v="Premium"/>
    <s v="2yrs"/>
  </r>
  <r>
    <x v="128"/>
    <x v="128"/>
    <x v="1"/>
    <n v="20"/>
    <x v="3"/>
    <x v="2"/>
    <n v="146209"/>
    <x v="1"/>
    <x v="123"/>
    <x v="1"/>
    <s v="High"/>
    <s v="6yrs"/>
  </r>
  <r>
    <x v="129"/>
    <x v="129"/>
    <x v="1"/>
    <n v="29"/>
    <x v="0"/>
    <x v="2"/>
    <n v="199917"/>
    <x v="0"/>
    <x v="124"/>
    <x v="0"/>
    <s v="Premium"/>
    <s v="1yrs"/>
  </r>
  <r>
    <x v="130"/>
    <x v="130"/>
    <x v="1"/>
    <n v="43"/>
    <x v="0"/>
    <x v="4"/>
    <n v="112124"/>
    <x v="1"/>
    <x v="125"/>
    <x v="0"/>
    <s v="High"/>
    <s v="5yrs"/>
  </r>
  <r>
    <x v="131"/>
    <x v="131"/>
    <x v="0"/>
    <n v="33"/>
    <x v="0"/>
    <x v="1"/>
    <n v="111659"/>
    <x v="0"/>
    <x v="126"/>
    <x v="0"/>
    <s v="High"/>
    <s v="7yrs"/>
  </r>
  <r>
    <x v="132"/>
    <x v="132"/>
    <x v="0"/>
    <n v="68"/>
    <x v="2"/>
    <x v="5"/>
    <n v="184134"/>
    <x v="0"/>
    <x v="127"/>
    <x v="2"/>
    <s v="Premium"/>
    <s v="4yrs"/>
  </r>
  <r>
    <x v="133"/>
    <x v="133"/>
    <x v="0"/>
    <n v="54"/>
    <x v="3"/>
    <x v="2"/>
    <n v="95713"/>
    <x v="0"/>
    <x v="75"/>
    <x v="0"/>
    <s v="Medium"/>
    <s v="7yrs"/>
  </r>
  <r>
    <x v="134"/>
    <x v="134"/>
    <x v="0"/>
    <n v="39"/>
    <x v="3"/>
    <x v="4"/>
    <n v="95418"/>
    <x v="1"/>
    <x v="128"/>
    <x v="0"/>
    <s v="Medium"/>
    <s v="7yrs"/>
  </r>
  <r>
    <x v="135"/>
    <x v="135"/>
    <x v="0"/>
    <n v="74"/>
    <x v="3"/>
    <x v="4"/>
    <n v="148232"/>
    <x v="1"/>
    <x v="129"/>
    <x v="2"/>
    <s v="High"/>
    <s v="1yrs"/>
  </r>
  <r>
    <x v="136"/>
    <x v="136"/>
    <x v="0"/>
    <n v="46"/>
    <x v="0"/>
    <x v="0"/>
    <n v="185904"/>
    <x v="0"/>
    <x v="130"/>
    <x v="0"/>
    <s v="Premium"/>
    <s v="6yrs"/>
  </r>
  <r>
    <x v="137"/>
    <x v="137"/>
    <x v="0"/>
    <n v="31"/>
    <x v="3"/>
    <x v="6"/>
    <n v="183038"/>
    <x v="0"/>
    <x v="131"/>
    <x v="0"/>
    <s v="Premium"/>
    <s v="8yrs"/>
  </r>
  <r>
    <x v="138"/>
    <x v="138"/>
    <x v="0"/>
    <n v="45"/>
    <x v="3"/>
    <x v="1"/>
    <n v="164059"/>
    <x v="0"/>
    <x v="132"/>
    <x v="0"/>
    <s v="Premium"/>
    <s v="0yrs"/>
  </r>
  <r>
    <x v="139"/>
    <x v="139"/>
    <x v="0"/>
    <n v="22"/>
    <x v="0"/>
    <x v="5"/>
    <n v="188383"/>
    <x v="1"/>
    <x v="133"/>
    <x v="0"/>
    <s v="Premium"/>
    <s v="7yrs"/>
  </r>
  <r>
    <x v="140"/>
    <x v="140"/>
    <x v="1"/>
    <n v="64"/>
    <x v="1"/>
    <x v="3"/>
    <n v="51575"/>
    <x v="1"/>
    <x v="134"/>
    <x v="2"/>
    <s v="Medium"/>
    <s v="7yrs"/>
  </r>
  <r>
    <x v="141"/>
    <x v="141"/>
    <x v="0"/>
    <n v="66"/>
    <x v="0"/>
    <x v="6"/>
    <n v="83852"/>
    <x v="0"/>
    <x v="135"/>
    <x v="2"/>
    <s v="Medium"/>
    <s v="1yrs"/>
  </r>
  <r>
    <x v="142"/>
    <x v="142"/>
    <x v="1"/>
    <n v="47"/>
    <x v="3"/>
    <x v="6"/>
    <n v="152079"/>
    <x v="0"/>
    <x v="136"/>
    <x v="0"/>
    <s v="Premium"/>
    <s v="3yrs"/>
  </r>
  <r>
    <x v="143"/>
    <x v="143"/>
    <x v="1"/>
    <n v="63"/>
    <x v="0"/>
    <x v="0"/>
    <n v="96242"/>
    <x v="0"/>
    <x v="137"/>
    <x v="2"/>
    <s v="Medium"/>
    <s v="7yrs"/>
  </r>
  <r>
    <x v="144"/>
    <x v="144"/>
    <x v="1"/>
    <n v="69"/>
    <x v="1"/>
    <x v="2"/>
    <n v="198589"/>
    <x v="0"/>
    <x v="138"/>
    <x v="2"/>
    <s v="Premium"/>
    <s v="6yrs"/>
  </r>
  <r>
    <x v="145"/>
    <x v="145"/>
    <x v="0"/>
    <n v="22"/>
    <x v="0"/>
    <x v="2"/>
    <n v="49257"/>
    <x v="0"/>
    <x v="139"/>
    <x v="0"/>
    <s v="Low"/>
    <s v="5yrs"/>
  </r>
  <r>
    <x v="146"/>
    <x v="146"/>
    <x v="0"/>
    <n v="29"/>
    <x v="3"/>
    <x v="0"/>
    <n v="193279"/>
    <x v="2"/>
    <x v="140"/>
    <x v="0"/>
    <s v="Premium"/>
    <s v="5yrs"/>
  </r>
  <r>
    <x v="147"/>
    <x v="147"/>
    <x v="0"/>
    <n v="33"/>
    <x v="1"/>
    <x v="4"/>
    <n v="164353"/>
    <x v="0"/>
    <x v="141"/>
    <x v="0"/>
    <s v="Premium"/>
    <s v="7yrs"/>
  </r>
  <r>
    <x v="148"/>
    <x v="148"/>
    <x v="0"/>
    <n v="43"/>
    <x v="2"/>
    <x v="2"/>
    <n v="81246"/>
    <x v="1"/>
    <x v="142"/>
    <x v="0"/>
    <s v="Medium"/>
    <s v="2yrs"/>
  </r>
  <r>
    <x v="149"/>
    <x v="149"/>
    <x v="1"/>
    <n v="43"/>
    <x v="3"/>
    <x v="1"/>
    <n v="21435"/>
    <x v="0"/>
    <x v="143"/>
    <x v="0"/>
    <s v="Low"/>
    <s v="5yrs"/>
  </r>
  <r>
    <x v="150"/>
    <x v="150"/>
    <x v="0"/>
    <n v="65"/>
    <x v="1"/>
    <x v="5"/>
    <n v="111357"/>
    <x v="0"/>
    <x v="144"/>
    <x v="2"/>
    <s v="High"/>
    <s v="5yrs"/>
  </r>
  <r>
    <x v="151"/>
    <x v="151"/>
    <x v="0"/>
    <n v="38"/>
    <x v="1"/>
    <x v="6"/>
    <n v="177732"/>
    <x v="1"/>
    <x v="145"/>
    <x v="0"/>
    <s v="Premium"/>
    <s v="6yrs"/>
  </r>
  <r>
    <x v="152"/>
    <x v="152"/>
    <x v="0"/>
    <n v="56"/>
    <x v="2"/>
    <x v="6"/>
    <n v="156156"/>
    <x v="1"/>
    <x v="146"/>
    <x v="0"/>
    <s v="Premium"/>
    <s v="9yrs"/>
  </r>
  <r>
    <x v="153"/>
    <x v="153"/>
    <x v="0"/>
    <n v="53"/>
    <x v="0"/>
    <x v="1"/>
    <n v="164579"/>
    <x v="2"/>
    <x v="147"/>
    <x v="0"/>
    <s v="Premium"/>
    <s v="10yrs"/>
  </r>
  <r>
    <x v="154"/>
    <x v="154"/>
    <x v="0"/>
    <n v="50"/>
    <x v="0"/>
    <x v="2"/>
    <n v="103807"/>
    <x v="0"/>
    <x v="148"/>
    <x v="0"/>
    <s v="High"/>
    <s v="1yrs"/>
  </r>
  <r>
    <x v="155"/>
    <x v="155"/>
    <x v="1"/>
    <n v="47"/>
    <x v="3"/>
    <x v="6"/>
    <n v="196611"/>
    <x v="0"/>
    <x v="149"/>
    <x v="0"/>
    <s v="Premium"/>
    <s v="2yrs"/>
  </r>
  <r>
    <x v="156"/>
    <x v="156"/>
    <x v="0"/>
    <n v="54"/>
    <x v="2"/>
    <x v="3"/>
    <n v="135953"/>
    <x v="1"/>
    <x v="150"/>
    <x v="0"/>
    <s v="High"/>
    <s v="7yrs"/>
  </r>
  <r>
    <x v="157"/>
    <x v="157"/>
    <x v="1"/>
    <n v="40"/>
    <x v="0"/>
    <x v="5"/>
    <n v="158563"/>
    <x v="0"/>
    <x v="151"/>
    <x v="0"/>
    <s v="Premium"/>
    <s v="0yrs"/>
  </r>
  <r>
    <x v="158"/>
    <x v="158"/>
    <x v="0"/>
    <n v="27"/>
    <x v="2"/>
    <x v="5"/>
    <n v="143797"/>
    <x v="0"/>
    <x v="77"/>
    <x v="0"/>
    <s v="High"/>
    <s v="7yrs"/>
  </r>
  <r>
    <x v="159"/>
    <x v="159"/>
    <x v="1"/>
    <n v="71"/>
    <x v="0"/>
    <x v="6"/>
    <n v="83888"/>
    <x v="0"/>
    <x v="152"/>
    <x v="2"/>
    <s v="Medium"/>
    <s v="9yrs"/>
  </r>
  <r>
    <x v="160"/>
    <x v="160"/>
    <x v="0"/>
    <n v="22"/>
    <x v="1"/>
    <x v="0"/>
    <n v="93609"/>
    <x v="0"/>
    <x v="153"/>
    <x v="0"/>
    <s v="Medium"/>
    <s v="4yrs"/>
  </r>
  <r>
    <x v="161"/>
    <x v="161"/>
    <x v="0"/>
    <n v="53"/>
    <x v="0"/>
    <x v="6"/>
    <n v="29077"/>
    <x v="1"/>
    <x v="154"/>
    <x v="0"/>
    <s v="Low"/>
    <s v="10yrs"/>
  </r>
  <r>
    <x v="162"/>
    <x v="162"/>
    <x v="1"/>
    <n v="51"/>
    <x v="2"/>
    <x v="0"/>
    <n v="40953"/>
    <x v="0"/>
    <x v="155"/>
    <x v="0"/>
    <s v="Low"/>
    <s v="3yrs"/>
  </r>
  <r>
    <x v="163"/>
    <x v="163"/>
    <x v="1"/>
    <n v="69"/>
    <x v="1"/>
    <x v="6"/>
    <n v="134682"/>
    <x v="0"/>
    <x v="156"/>
    <x v="2"/>
    <s v="High"/>
    <s v="4yrs"/>
  </r>
  <r>
    <x v="164"/>
    <x v="164"/>
    <x v="1"/>
    <n v="48"/>
    <x v="1"/>
    <x v="3"/>
    <n v="87889"/>
    <x v="0"/>
    <x v="157"/>
    <x v="0"/>
    <s v="Medium"/>
    <s v="2yrs"/>
  </r>
  <r>
    <x v="165"/>
    <x v="165"/>
    <x v="0"/>
    <n v="27"/>
    <x v="1"/>
    <x v="4"/>
    <n v="174893"/>
    <x v="0"/>
    <x v="158"/>
    <x v="0"/>
    <s v="Premium"/>
    <s v="9yrs"/>
  </r>
  <r>
    <x v="166"/>
    <x v="166"/>
    <x v="1"/>
    <n v="36"/>
    <x v="2"/>
    <x v="5"/>
    <n v="188639"/>
    <x v="0"/>
    <x v="159"/>
    <x v="0"/>
    <s v="Premium"/>
    <s v="1yrs"/>
  </r>
  <r>
    <x v="167"/>
    <x v="167"/>
    <x v="0"/>
    <n v="49"/>
    <x v="3"/>
    <x v="6"/>
    <n v="135374"/>
    <x v="0"/>
    <x v="160"/>
    <x v="0"/>
    <s v="High"/>
    <s v="5yrs"/>
  </r>
  <r>
    <x v="168"/>
    <x v="168"/>
    <x v="0"/>
    <n v="18"/>
    <x v="3"/>
    <x v="3"/>
    <n v="44860"/>
    <x v="0"/>
    <x v="161"/>
    <x v="3"/>
    <s v="Low"/>
    <s v="0yrs"/>
  </r>
  <r>
    <x v="169"/>
    <x v="169"/>
    <x v="1"/>
    <n v="73"/>
    <x v="3"/>
    <x v="0"/>
    <n v="172267"/>
    <x v="1"/>
    <x v="162"/>
    <x v="2"/>
    <s v="Premium"/>
    <s v="2yrs"/>
  </r>
  <r>
    <x v="170"/>
    <x v="170"/>
    <x v="1"/>
    <n v="22"/>
    <x v="2"/>
    <x v="0"/>
    <n v="97475"/>
    <x v="0"/>
    <x v="163"/>
    <x v="0"/>
    <s v="Medium"/>
    <s v="9yrs"/>
  </r>
  <r>
    <x v="171"/>
    <x v="171"/>
    <x v="0"/>
    <n v="62"/>
    <x v="1"/>
    <x v="5"/>
    <n v="107266"/>
    <x v="0"/>
    <x v="164"/>
    <x v="2"/>
    <s v="High"/>
    <s v="5yrs"/>
  </r>
  <r>
    <x v="172"/>
    <x v="172"/>
    <x v="0"/>
    <n v="21"/>
    <x v="3"/>
    <x v="1"/>
    <n v="172499"/>
    <x v="1"/>
    <x v="165"/>
    <x v="0"/>
    <s v="Premium"/>
    <s v="3yrs"/>
  </r>
  <r>
    <x v="173"/>
    <x v="173"/>
    <x v="1"/>
    <n v="33"/>
    <x v="2"/>
    <x v="6"/>
    <n v="120732"/>
    <x v="1"/>
    <x v="166"/>
    <x v="0"/>
    <s v="High"/>
    <s v="5yrs"/>
  </r>
  <r>
    <x v="174"/>
    <x v="174"/>
    <x v="1"/>
    <n v="41"/>
    <x v="3"/>
    <x v="2"/>
    <n v="47083"/>
    <x v="0"/>
    <x v="167"/>
    <x v="0"/>
    <s v="Low"/>
    <s v="7yrs"/>
  </r>
  <r>
    <x v="175"/>
    <x v="175"/>
    <x v="1"/>
    <n v="33"/>
    <x v="0"/>
    <x v="0"/>
    <n v="77372"/>
    <x v="0"/>
    <x v="168"/>
    <x v="0"/>
    <s v="Medium"/>
    <s v="9yrs"/>
  </r>
  <r>
    <x v="176"/>
    <x v="176"/>
    <x v="0"/>
    <n v="72"/>
    <x v="3"/>
    <x v="4"/>
    <n v="143786"/>
    <x v="0"/>
    <x v="169"/>
    <x v="2"/>
    <s v="High"/>
    <s v="1yrs"/>
  </r>
  <r>
    <x v="177"/>
    <x v="177"/>
    <x v="0"/>
    <n v="19"/>
    <x v="3"/>
    <x v="4"/>
    <n v="195136"/>
    <x v="1"/>
    <x v="170"/>
    <x v="1"/>
    <s v="Premium"/>
    <s v="0yrs"/>
  </r>
  <r>
    <x v="178"/>
    <x v="178"/>
    <x v="0"/>
    <n v="66"/>
    <x v="1"/>
    <x v="0"/>
    <n v="27813"/>
    <x v="2"/>
    <x v="171"/>
    <x v="2"/>
    <s v="Low"/>
    <s v="8yrs"/>
  </r>
  <r>
    <x v="179"/>
    <x v="179"/>
    <x v="0"/>
    <n v="45"/>
    <x v="2"/>
    <x v="1"/>
    <n v="51598"/>
    <x v="1"/>
    <x v="172"/>
    <x v="0"/>
    <s v="Medium"/>
    <s v="0yrs"/>
  </r>
  <r>
    <x v="180"/>
    <x v="180"/>
    <x v="0"/>
    <n v="49"/>
    <x v="1"/>
    <x v="1"/>
    <n v="113106"/>
    <x v="0"/>
    <x v="173"/>
    <x v="0"/>
    <s v="High"/>
    <s v="9yrs"/>
  </r>
  <r>
    <x v="181"/>
    <x v="181"/>
    <x v="0"/>
    <n v="44"/>
    <x v="1"/>
    <x v="3"/>
    <n v="47082"/>
    <x v="1"/>
    <x v="174"/>
    <x v="0"/>
    <s v="Low"/>
    <s v="0yrs"/>
  </r>
  <r>
    <x v="182"/>
    <x v="182"/>
    <x v="1"/>
    <n v="37"/>
    <x v="1"/>
    <x v="4"/>
    <n v="49241"/>
    <x v="0"/>
    <x v="175"/>
    <x v="0"/>
    <s v="Low"/>
    <s v="7yrs"/>
  </r>
  <r>
    <x v="183"/>
    <x v="183"/>
    <x v="0"/>
    <n v="41"/>
    <x v="1"/>
    <x v="3"/>
    <n v="195641"/>
    <x v="0"/>
    <x v="88"/>
    <x v="0"/>
    <s v="Premium"/>
    <s v="3yrs"/>
  </r>
  <r>
    <x v="184"/>
    <x v="184"/>
    <x v="0"/>
    <n v="29"/>
    <x v="1"/>
    <x v="4"/>
    <n v="31745"/>
    <x v="0"/>
    <x v="176"/>
    <x v="0"/>
    <s v="Low"/>
    <s v="1yrs"/>
  </r>
  <r>
    <x v="185"/>
    <x v="185"/>
    <x v="0"/>
    <n v="67"/>
    <x v="3"/>
    <x v="6"/>
    <n v="46029"/>
    <x v="2"/>
    <x v="177"/>
    <x v="2"/>
    <s v="Low"/>
    <s v="8yrs"/>
  </r>
  <r>
    <x v="186"/>
    <x v="186"/>
    <x v="1"/>
    <n v="52"/>
    <x v="1"/>
    <x v="6"/>
    <n v="164097"/>
    <x v="0"/>
    <x v="178"/>
    <x v="0"/>
    <s v="Premium"/>
    <s v="2yrs"/>
  </r>
  <r>
    <x v="187"/>
    <x v="187"/>
    <x v="0"/>
    <n v="50"/>
    <x v="1"/>
    <x v="2"/>
    <n v="143395"/>
    <x v="1"/>
    <x v="179"/>
    <x v="0"/>
    <s v="High"/>
    <s v="1yrs"/>
  </r>
  <r>
    <x v="188"/>
    <x v="188"/>
    <x v="0"/>
    <n v="50"/>
    <x v="2"/>
    <x v="6"/>
    <n v="165360"/>
    <x v="0"/>
    <x v="180"/>
    <x v="0"/>
    <s v="Premium"/>
    <s v="1yrs"/>
  </r>
  <r>
    <x v="189"/>
    <x v="189"/>
    <x v="1"/>
    <n v="68"/>
    <x v="0"/>
    <x v="2"/>
    <n v="109186"/>
    <x v="0"/>
    <x v="181"/>
    <x v="2"/>
    <s v="High"/>
    <s v="8yrs"/>
  </r>
  <r>
    <x v="190"/>
    <x v="190"/>
    <x v="0"/>
    <n v="60"/>
    <x v="3"/>
    <x v="6"/>
    <n v="157612"/>
    <x v="0"/>
    <x v="182"/>
    <x v="2"/>
    <s v="Premium"/>
    <s v="5yrs"/>
  </r>
  <r>
    <x v="191"/>
    <x v="191"/>
    <x v="0"/>
    <n v="54"/>
    <x v="3"/>
    <x v="5"/>
    <n v="117768"/>
    <x v="0"/>
    <x v="183"/>
    <x v="0"/>
    <s v="High"/>
    <s v="0yrs"/>
  </r>
  <r>
    <x v="192"/>
    <x v="192"/>
    <x v="0"/>
    <n v="29"/>
    <x v="3"/>
    <x v="6"/>
    <n v="61846"/>
    <x v="1"/>
    <x v="184"/>
    <x v="0"/>
    <s v="Medium"/>
    <s v="4yrs"/>
  </r>
  <r>
    <x v="193"/>
    <x v="193"/>
    <x v="0"/>
    <n v="20"/>
    <x v="1"/>
    <x v="3"/>
    <n v="95932"/>
    <x v="0"/>
    <x v="185"/>
    <x v="1"/>
    <s v="Medium"/>
    <s v="1yrs"/>
  </r>
  <r>
    <x v="194"/>
    <x v="194"/>
    <x v="0"/>
    <n v="18"/>
    <x v="1"/>
    <x v="0"/>
    <n v="168554"/>
    <x v="1"/>
    <x v="186"/>
    <x v="3"/>
    <s v="Premium"/>
    <s v="10yrs"/>
  </r>
  <r>
    <x v="195"/>
    <x v="195"/>
    <x v="1"/>
    <n v="50"/>
    <x v="1"/>
    <x v="3"/>
    <n v="43411"/>
    <x v="1"/>
    <x v="187"/>
    <x v="0"/>
    <s v="Low"/>
    <s v="6yrs"/>
  </r>
  <r>
    <x v="196"/>
    <x v="196"/>
    <x v="1"/>
    <n v="57"/>
    <x v="2"/>
    <x v="0"/>
    <n v="98797"/>
    <x v="2"/>
    <x v="188"/>
    <x v="0"/>
    <s v="Medium"/>
    <s v="9yrs"/>
  </r>
  <r>
    <x v="197"/>
    <x v="197"/>
    <x v="1"/>
    <n v="27"/>
    <x v="0"/>
    <x v="1"/>
    <n v="72307"/>
    <x v="0"/>
    <x v="189"/>
    <x v="0"/>
    <s v="Medium"/>
    <s v="5yrs"/>
  </r>
  <r>
    <x v="198"/>
    <x v="198"/>
    <x v="0"/>
    <n v="60"/>
    <x v="1"/>
    <x v="3"/>
    <n v="154165"/>
    <x v="0"/>
    <x v="190"/>
    <x v="2"/>
    <s v="Premium"/>
    <s v="7yrs"/>
  </r>
  <r>
    <x v="199"/>
    <x v="199"/>
    <x v="0"/>
    <n v="61"/>
    <x v="0"/>
    <x v="1"/>
    <n v="42042"/>
    <x v="0"/>
    <x v="191"/>
    <x v="2"/>
    <s v="Low"/>
    <s v="1yrs"/>
  </r>
  <r>
    <x v="200"/>
    <x v="200"/>
    <x v="0"/>
    <n v="46"/>
    <x v="2"/>
    <x v="2"/>
    <n v="72930"/>
    <x v="2"/>
    <x v="192"/>
    <x v="0"/>
    <s v="Medium"/>
    <s v="8yrs"/>
  </r>
  <r>
    <x v="201"/>
    <x v="201"/>
    <x v="1"/>
    <n v="30"/>
    <x v="3"/>
    <x v="2"/>
    <n v="195485"/>
    <x v="2"/>
    <x v="193"/>
    <x v="0"/>
    <s v="Premium"/>
    <s v="6yrs"/>
  </r>
  <r>
    <x v="202"/>
    <x v="202"/>
    <x v="0"/>
    <n v="29"/>
    <x v="1"/>
    <x v="5"/>
    <n v="117883"/>
    <x v="0"/>
    <x v="194"/>
    <x v="0"/>
    <s v="High"/>
    <s v="1yrs"/>
  </r>
  <r>
    <x v="203"/>
    <x v="203"/>
    <x v="0"/>
    <n v="48"/>
    <x v="0"/>
    <x v="6"/>
    <n v="53756"/>
    <x v="1"/>
    <x v="33"/>
    <x v="0"/>
    <s v="Medium"/>
    <s v="9yrs"/>
  </r>
  <r>
    <x v="204"/>
    <x v="204"/>
    <x v="1"/>
    <n v="63"/>
    <x v="0"/>
    <x v="3"/>
    <n v="73268"/>
    <x v="0"/>
    <x v="195"/>
    <x v="2"/>
    <s v="Medium"/>
    <s v="0yrs"/>
  </r>
  <r>
    <x v="205"/>
    <x v="205"/>
    <x v="0"/>
    <n v="19"/>
    <x v="1"/>
    <x v="1"/>
    <n v="190286"/>
    <x v="1"/>
    <x v="196"/>
    <x v="1"/>
    <s v="Premium"/>
    <s v="5yrs"/>
  </r>
  <r>
    <x v="206"/>
    <x v="206"/>
    <x v="1"/>
    <n v="68"/>
    <x v="3"/>
    <x v="0"/>
    <n v="179674"/>
    <x v="0"/>
    <x v="197"/>
    <x v="2"/>
    <s v="Premium"/>
    <s v="6yrs"/>
  </r>
  <r>
    <x v="207"/>
    <x v="207"/>
    <x v="1"/>
    <n v="67"/>
    <x v="3"/>
    <x v="2"/>
    <n v="68901"/>
    <x v="1"/>
    <x v="198"/>
    <x v="2"/>
    <s v="Medium"/>
    <s v="3yrs"/>
  </r>
  <r>
    <x v="208"/>
    <x v="208"/>
    <x v="1"/>
    <n v="52"/>
    <x v="3"/>
    <x v="6"/>
    <n v="119986"/>
    <x v="0"/>
    <x v="199"/>
    <x v="0"/>
    <s v="High"/>
    <s v="5yrs"/>
  </r>
  <r>
    <x v="209"/>
    <x v="209"/>
    <x v="0"/>
    <n v="40"/>
    <x v="2"/>
    <x v="2"/>
    <n v="183268"/>
    <x v="1"/>
    <x v="200"/>
    <x v="0"/>
    <s v="Premium"/>
    <s v="5yrs"/>
  </r>
  <r>
    <x v="210"/>
    <x v="210"/>
    <x v="0"/>
    <n v="34"/>
    <x v="0"/>
    <x v="0"/>
    <n v="148386"/>
    <x v="1"/>
    <x v="201"/>
    <x v="0"/>
    <s v="High"/>
    <s v="5yrs"/>
  </r>
  <r>
    <x v="211"/>
    <x v="211"/>
    <x v="0"/>
    <n v="43"/>
    <x v="0"/>
    <x v="6"/>
    <n v="25626"/>
    <x v="1"/>
    <x v="202"/>
    <x v="0"/>
    <s v="Low"/>
    <s v="6yrs"/>
  </r>
  <r>
    <x v="212"/>
    <x v="212"/>
    <x v="0"/>
    <n v="25"/>
    <x v="0"/>
    <x v="6"/>
    <n v="158496"/>
    <x v="0"/>
    <x v="203"/>
    <x v="0"/>
    <s v="Premium"/>
    <s v="8yrs"/>
  </r>
  <r>
    <x v="213"/>
    <x v="213"/>
    <x v="0"/>
    <n v="46"/>
    <x v="2"/>
    <x v="1"/>
    <n v="32857"/>
    <x v="0"/>
    <x v="204"/>
    <x v="0"/>
    <s v="Low"/>
    <s v="3yrs"/>
  </r>
  <r>
    <x v="214"/>
    <x v="214"/>
    <x v="0"/>
    <n v="43"/>
    <x v="0"/>
    <x v="1"/>
    <n v="171054"/>
    <x v="0"/>
    <x v="205"/>
    <x v="0"/>
    <s v="Premium"/>
    <s v="5yrs"/>
  </r>
  <r>
    <x v="215"/>
    <x v="215"/>
    <x v="0"/>
    <n v="27"/>
    <x v="2"/>
    <x v="3"/>
    <n v="153052"/>
    <x v="0"/>
    <x v="206"/>
    <x v="0"/>
    <s v="Premium"/>
    <s v="9yrs"/>
  </r>
  <r>
    <x v="216"/>
    <x v="216"/>
    <x v="1"/>
    <n v="43"/>
    <x v="3"/>
    <x v="3"/>
    <n v="199362"/>
    <x v="0"/>
    <x v="207"/>
    <x v="0"/>
    <s v="Premium"/>
    <s v="2yrs"/>
  </r>
  <r>
    <x v="217"/>
    <x v="217"/>
    <x v="0"/>
    <n v="51"/>
    <x v="1"/>
    <x v="4"/>
    <n v="46431"/>
    <x v="2"/>
    <x v="208"/>
    <x v="0"/>
    <s v="Low"/>
    <s v="9yrs"/>
  </r>
  <r>
    <x v="218"/>
    <x v="218"/>
    <x v="1"/>
    <n v="68"/>
    <x v="0"/>
    <x v="4"/>
    <n v="104976"/>
    <x v="0"/>
    <x v="209"/>
    <x v="2"/>
    <s v="High"/>
    <s v="6yrs"/>
  </r>
  <r>
    <x v="219"/>
    <x v="219"/>
    <x v="0"/>
    <n v="58"/>
    <x v="0"/>
    <x v="5"/>
    <n v="102711"/>
    <x v="0"/>
    <x v="210"/>
    <x v="2"/>
    <s v="High"/>
    <s v="1yrs"/>
  </r>
  <r>
    <x v="220"/>
    <x v="220"/>
    <x v="0"/>
    <n v="24"/>
    <x v="3"/>
    <x v="2"/>
    <n v="46385"/>
    <x v="0"/>
    <x v="167"/>
    <x v="0"/>
    <s v="Low"/>
    <s v="7yrs"/>
  </r>
  <r>
    <x v="221"/>
    <x v="221"/>
    <x v="0"/>
    <n v="21"/>
    <x v="1"/>
    <x v="3"/>
    <n v="189230"/>
    <x v="0"/>
    <x v="211"/>
    <x v="0"/>
    <s v="Premium"/>
    <s v="1yrs"/>
  </r>
  <r>
    <x v="222"/>
    <x v="222"/>
    <x v="1"/>
    <n v="70"/>
    <x v="2"/>
    <x v="1"/>
    <n v="174091"/>
    <x v="1"/>
    <x v="212"/>
    <x v="2"/>
    <s v="Premium"/>
    <s v="9yrs"/>
  </r>
  <r>
    <x v="223"/>
    <x v="223"/>
    <x v="1"/>
    <n v="67"/>
    <x v="1"/>
    <x v="0"/>
    <n v="38639"/>
    <x v="0"/>
    <x v="213"/>
    <x v="2"/>
    <s v="Low"/>
    <s v="8yrs"/>
  </r>
  <r>
    <x v="224"/>
    <x v="224"/>
    <x v="1"/>
    <n v="62"/>
    <x v="3"/>
    <x v="1"/>
    <n v="105530"/>
    <x v="2"/>
    <x v="214"/>
    <x v="2"/>
    <s v="High"/>
    <s v="7yrs"/>
  </r>
  <r>
    <x v="225"/>
    <x v="225"/>
    <x v="1"/>
    <n v="28"/>
    <x v="3"/>
    <x v="2"/>
    <n v="41563"/>
    <x v="0"/>
    <x v="215"/>
    <x v="0"/>
    <s v="Low"/>
    <s v="1yrs"/>
  </r>
  <r>
    <x v="226"/>
    <x v="226"/>
    <x v="0"/>
    <n v="46"/>
    <x v="1"/>
    <x v="4"/>
    <n v="190413"/>
    <x v="2"/>
    <x v="216"/>
    <x v="0"/>
    <s v="Premium"/>
    <s v="8yrs"/>
  </r>
  <r>
    <x v="227"/>
    <x v="227"/>
    <x v="1"/>
    <n v="73"/>
    <x v="2"/>
    <x v="1"/>
    <n v="135672"/>
    <x v="1"/>
    <x v="217"/>
    <x v="2"/>
    <s v="High"/>
    <s v="6yrs"/>
  </r>
  <r>
    <x v="228"/>
    <x v="228"/>
    <x v="0"/>
    <n v="53"/>
    <x v="2"/>
    <x v="5"/>
    <n v="156848"/>
    <x v="0"/>
    <x v="218"/>
    <x v="0"/>
    <s v="Premium"/>
    <s v="3yrs"/>
  </r>
  <r>
    <x v="229"/>
    <x v="229"/>
    <x v="0"/>
    <n v="42"/>
    <x v="0"/>
    <x v="2"/>
    <n v="187516"/>
    <x v="2"/>
    <x v="219"/>
    <x v="0"/>
    <s v="Premium"/>
    <s v="7yrs"/>
  </r>
  <r>
    <x v="230"/>
    <x v="230"/>
    <x v="1"/>
    <n v="38"/>
    <x v="2"/>
    <x v="4"/>
    <n v="159783"/>
    <x v="0"/>
    <x v="220"/>
    <x v="0"/>
    <s v="Premium"/>
    <s v="2yrs"/>
  </r>
  <r>
    <x v="231"/>
    <x v="231"/>
    <x v="1"/>
    <n v="74"/>
    <x v="1"/>
    <x v="0"/>
    <n v="102970"/>
    <x v="1"/>
    <x v="221"/>
    <x v="2"/>
    <s v="High"/>
    <s v="7yrs"/>
  </r>
  <r>
    <x v="232"/>
    <x v="232"/>
    <x v="1"/>
    <n v="53"/>
    <x v="3"/>
    <x v="4"/>
    <n v="105553"/>
    <x v="0"/>
    <x v="222"/>
    <x v="0"/>
    <s v="High"/>
    <s v="8yrs"/>
  </r>
  <r>
    <x v="233"/>
    <x v="233"/>
    <x v="1"/>
    <n v="27"/>
    <x v="0"/>
    <x v="6"/>
    <n v="181779"/>
    <x v="1"/>
    <x v="93"/>
    <x v="0"/>
    <s v="Premium"/>
    <s v="8yrs"/>
  </r>
  <r>
    <x v="234"/>
    <x v="234"/>
    <x v="1"/>
    <n v="54"/>
    <x v="0"/>
    <x v="5"/>
    <n v="190182"/>
    <x v="1"/>
    <x v="223"/>
    <x v="0"/>
    <s v="Premium"/>
    <s v="2yrs"/>
  </r>
  <r>
    <x v="235"/>
    <x v="235"/>
    <x v="1"/>
    <n v="26"/>
    <x v="3"/>
    <x v="2"/>
    <n v="102879"/>
    <x v="1"/>
    <x v="224"/>
    <x v="0"/>
    <s v="High"/>
    <s v="8yrs"/>
  </r>
  <r>
    <x v="236"/>
    <x v="236"/>
    <x v="1"/>
    <n v="41"/>
    <x v="2"/>
    <x v="0"/>
    <n v="189899"/>
    <x v="1"/>
    <x v="225"/>
    <x v="0"/>
    <s v="Premium"/>
    <s v="0yrs"/>
  </r>
  <r>
    <x v="237"/>
    <x v="237"/>
    <x v="1"/>
    <n v="52"/>
    <x v="3"/>
    <x v="5"/>
    <n v="156727"/>
    <x v="0"/>
    <x v="226"/>
    <x v="0"/>
    <s v="Premium"/>
    <s v="4yrs"/>
  </r>
  <r>
    <x v="238"/>
    <x v="238"/>
    <x v="0"/>
    <n v="66"/>
    <x v="2"/>
    <x v="4"/>
    <n v="64859"/>
    <x v="0"/>
    <x v="227"/>
    <x v="2"/>
    <s v="Medium"/>
    <s v="0yrs"/>
  </r>
  <r>
    <x v="239"/>
    <x v="239"/>
    <x v="1"/>
    <n v="52"/>
    <x v="3"/>
    <x v="5"/>
    <n v="72098"/>
    <x v="0"/>
    <x v="228"/>
    <x v="0"/>
    <s v="Medium"/>
    <s v="3yrs"/>
  </r>
  <r>
    <x v="240"/>
    <x v="240"/>
    <x v="1"/>
    <n v="65"/>
    <x v="1"/>
    <x v="2"/>
    <n v="166323"/>
    <x v="0"/>
    <x v="229"/>
    <x v="2"/>
    <s v="Premium"/>
    <s v="1yrs"/>
  </r>
  <r>
    <x v="241"/>
    <x v="241"/>
    <x v="0"/>
    <n v="53"/>
    <x v="2"/>
    <x v="3"/>
    <n v="142413"/>
    <x v="1"/>
    <x v="230"/>
    <x v="0"/>
    <s v="High"/>
    <s v="3yrs"/>
  </r>
  <r>
    <x v="242"/>
    <x v="242"/>
    <x v="1"/>
    <n v="35"/>
    <x v="1"/>
    <x v="5"/>
    <n v="20526"/>
    <x v="0"/>
    <x v="231"/>
    <x v="0"/>
    <s v="Low"/>
    <s v="6yrs"/>
  </r>
  <r>
    <x v="243"/>
    <x v="243"/>
    <x v="0"/>
    <n v="66"/>
    <x v="0"/>
    <x v="6"/>
    <n v="88760"/>
    <x v="2"/>
    <x v="232"/>
    <x v="2"/>
    <s v="Medium"/>
    <s v="2yrs"/>
  </r>
  <r>
    <x v="244"/>
    <x v="244"/>
    <x v="0"/>
    <n v="56"/>
    <x v="3"/>
    <x v="5"/>
    <n v="67837"/>
    <x v="1"/>
    <x v="233"/>
    <x v="0"/>
    <s v="Medium"/>
    <s v="6yrs"/>
  </r>
  <r>
    <x v="245"/>
    <x v="245"/>
    <x v="1"/>
    <n v="49"/>
    <x v="0"/>
    <x v="4"/>
    <n v="31536"/>
    <x v="1"/>
    <x v="234"/>
    <x v="0"/>
    <s v="Low"/>
    <s v="7yrs"/>
  </r>
  <r>
    <x v="246"/>
    <x v="246"/>
    <x v="0"/>
    <n v="41"/>
    <x v="0"/>
    <x v="4"/>
    <n v="48541"/>
    <x v="0"/>
    <x v="156"/>
    <x v="0"/>
    <s v="Low"/>
    <s v="4yrs"/>
  </r>
  <r>
    <x v="247"/>
    <x v="247"/>
    <x v="0"/>
    <n v="40"/>
    <x v="0"/>
    <x v="0"/>
    <n v="99083"/>
    <x v="1"/>
    <x v="235"/>
    <x v="0"/>
    <s v="Medium"/>
    <s v="2yrs"/>
  </r>
  <r>
    <x v="248"/>
    <x v="248"/>
    <x v="0"/>
    <n v="49"/>
    <x v="0"/>
    <x v="4"/>
    <n v="54531"/>
    <x v="2"/>
    <x v="236"/>
    <x v="0"/>
    <s v="Medium"/>
    <s v="4yrs"/>
  </r>
  <r>
    <x v="249"/>
    <x v="249"/>
    <x v="0"/>
    <n v="54"/>
    <x v="3"/>
    <x v="1"/>
    <n v="28712"/>
    <x v="0"/>
    <x v="237"/>
    <x v="0"/>
    <s v="Low"/>
    <s v="7yrs"/>
  </r>
  <r>
    <x v="250"/>
    <x v="250"/>
    <x v="1"/>
    <n v="29"/>
    <x v="0"/>
    <x v="2"/>
    <n v="124101"/>
    <x v="1"/>
    <x v="176"/>
    <x v="0"/>
    <s v="High"/>
    <s v="1yrs"/>
  </r>
  <r>
    <x v="251"/>
    <x v="251"/>
    <x v="0"/>
    <n v="66"/>
    <x v="3"/>
    <x v="2"/>
    <n v="85455"/>
    <x v="1"/>
    <x v="238"/>
    <x v="2"/>
    <s v="Medium"/>
    <s v="2yrs"/>
  </r>
  <r>
    <x v="252"/>
    <x v="252"/>
    <x v="1"/>
    <n v="72"/>
    <x v="3"/>
    <x v="3"/>
    <n v="94744"/>
    <x v="0"/>
    <x v="239"/>
    <x v="2"/>
    <s v="Medium"/>
    <s v="7yrs"/>
  </r>
  <r>
    <x v="253"/>
    <x v="253"/>
    <x v="0"/>
    <n v="30"/>
    <x v="1"/>
    <x v="3"/>
    <n v="149749"/>
    <x v="0"/>
    <x v="240"/>
    <x v="0"/>
    <s v="High"/>
    <s v="8yrs"/>
  </r>
  <r>
    <x v="254"/>
    <x v="254"/>
    <x v="0"/>
    <n v="40"/>
    <x v="2"/>
    <x v="2"/>
    <n v="25109"/>
    <x v="0"/>
    <x v="241"/>
    <x v="0"/>
    <s v="Low"/>
    <s v="8yrs"/>
  </r>
  <r>
    <x v="255"/>
    <x v="255"/>
    <x v="0"/>
    <n v="42"/>
    <x v="2"/>
    <x v="6"/>
    <n v="69268"/>
    <x v="0"/>
    <x v="242"/>
    <x v="0"/>
    <s v="Medium"/>
    <s v="5yrs"/>
  </r>
  <r>
    <x v="256"/>
    <x v="256"/>
    <x v="0"/>
    <n v="52"/>
    <x v="3"/>
    <x v="3"/>
    <n v="74615"/>
    <x v="0"/>
    <x v="243"/>
    <x v="0"/>
    <s v="Medium"/>
    <s v="8yrs"/>
  </r>
  <r>
    <x v="257"/>
    <x v="257"/>
    <x v="1"/>
    <n v="58"/>
    <x v="1"/>
    <x v="0"/>
    <n v="102503"/>
    <x v="0"/>
    <x v="244"/>
    <x v="2"/>
    <s v="High"/>
    <s v="0yrs"/>
  </r>
  <r>
    <x v="258"/>
    <x v="258"/>
    <x v="1"/>
    <n v="47"/>
    <x v="3"/>
    <x v="4"/>
    <n v="180831"/>
    <x v="0"/>
    <x v="245"/>
    <x v="0"/>
    <s v="Premium"/>
    <s v="4yrs"/>
  </r>
  <r>
    <x v="259"/>
    <x v="259"/>
    <x v="0"/>
    <n v="34"/>
    <x v="3"/>
    <x v="2"/>
    <n v="105708"/>
    <x v="0"/>
    <x v="246"/>
    <x v="0"/>
    <s v="High"/>
    <s v="3yrs"/>
  </r>
  <r>
    <x v="260"/>
    <x v="260"/>
    <x v="0"/>
    <n v="66"/>
    <x v="3"/>
    <x v="3"/>
    <n v="122471"/>
    <x v="2"/>
    <x v="85"/>
    <x v="2"/>
    <s v="High"/>
    <s v="5yrs"/>
  </r>
  <r>
    <x v="261"/>
    <x v="261"/>
    <x v="1"/>
    <n v="37"/>
    <x v="1"/>
    <x v="2"/>
    <n v="177661"/>
    <x v="0"/>
    <x v="247"/>
    <x v="0"/>
    <s v="Premium"/>
    <s v="1yrs"/>
  </r>
  <r>
    <x v="262"/>
    <x v="262"/>
    <x v="0"/>
    <n v="65"/>
    <x v="2"/>
    <x v="1"/>
    <n v="181087"/>
    <x v="2"/>
    <x v="248"/>
    <x v="2"/>
    <s v="Premium"/>
    <s v="5yrs"/>
  </r>
  <r>
    <x v="263"/>
    <x v="263"/>
    <x v="0"/>
    <n v="42"/>
    <x v="1"/>
    <x v="5"/>
    <n v="180081"/>
    <x v="0"/>
    <x v="249"/>
    <x v="0"/>
    <s v="Premium"/>
    <s v="9yrs"/>
  </r>
  <r>
    <x v="264"/>
    <x v="264"/>
    <x v="0"/>
    <n v="39"/>
    <x v="0"/>
    <x v="4"/>
    <n v="103309"/>
    <x v="0"/>
    <x v="250"/>
    <x v="0"/>
    <s v="High"/>
    <s v="5yrs"/>
  </r>
  <r>
    <x v="265"/>
    <x v="265"/>
    <x v="1"/>
    <n v="30"/>
    <x v="1"/>
    <x v="2"/>
    <n v="146446"/>
    <x v="0"/>
    <x v="251"/>
    <x v="0"/>
    <s v="High"/>
    <s v="8yrs"/>
  </r>
  <r>
    <x v="266"/>
    <x v="266"/>
    <x v="1"/>
    <n v="36"/>
    <x v="1"/>
    <x v="5"/>
    <n v="126661"/>
    <x v="0"/>
    <x v="252"/>
    <x v="0"/>
    <s v="High"/>
    <s v="4yrs"/>
  </r>
  <r>
    <x v="267"/>
    <x v="267"/>
    <x v="1"/>
    <n v="66"/>
    <x v="1"/>
    <x v="3"/>
    <n v="177215"/>
    <x v="0"/>
    <x v="253"/>
    <x v="2"/>
    <s v="Premium"/>
    <s v="5yrs"/>
  </r>
  <r>
    <x v="268"/>
    <x v="268"/>
    <x v="0"/>
    <n v="53"/>
    <x v="1"/>
    <x v="5"/>
    <n v="26154"/>
    <x v="1"/>
    <x v="254"/>
    <x v="0"/>
    <s v="Low"/>
    <s v="7yrs"/>
  </r>
  <r>
    <x v="269"/>
    <x v="269"/>
    <x v="0"/>
    <n v="29"/>
    <x v="2"/>
    <x v="4"/>
    <n v="172876"/>
    <x v="0"/>
    <x v="255"/>
    <x v="0"/>
    <s v="Premium"/>
    <s v="8yrs"/>
  </r>
  <r>
    <x v="270"/>
    <x v="270"/>
    <x v="1"/>
    <n v="58"/>
    <x v="0"/>
    <x v="2"/>
    <n v="192760"/>
    <x v="1"/>
    <x v="256"/>
    <x v="2"/>
    <s v="Premium"/>
    <s v="2yrs"/>
  </r>
  <r>
    <x v="271"/>
    <x v="271"/>
    <x v="1"/>
    <n v="36"/>
    <x v="2"/>
    <x v="1"/>
    <n v="84288"/>
    <x v="1"/>
    <x v="257"/>
    <x v="0"/>
    <s v="Medium"/>
    <s v="5yrs"/>
  </r>
  <r>
    <x v="272"/>
    <x v="272"/>
    <x v="1"/>
    <n v="29"/>
    <x v="2"/>
    <x v="6"/>
    <n v="71195"/>
    <x v="0"/>
    <x v="258"/>
    <x v="0"/>
    <s v="Medium"/>
    <s v="5yrs"/>
  </r>
  <r>
    <x v="273"/>
    <x v="273"/>
    <x v="1"/>
    <n v="26"/>
    <x v="1"/>
    <x v="3"/>
    <n v="40581"/>
    <x v="0"/>
    <x v="259"/>
    <x v="0"/>
    <s v="Low"/>
    <s v="1yrs"/>
  </r>
  <r>
    <x v="274"/>
    <x v="274"/>
    <x v="0"/>
    <n v="24"/>
    <x v="3"/>
    <x v="2"/>
    <n v="50087"/>
    <x v="1"/>
    <x v="260"/>
    <x v="0"/>
    <s v="Medium"/>
    <s v="5yrs"/>
  </r>
  <r>
    <x v="275"/>
    <x v="275"/>
    <x v="1"/>
    <n v="45"/>
    <x v="3"/>
    <x v="4"/>
    <n v="184053"/>
    <x v="0"/>
    <x v="261"/>
    <x v="0"/>
    <s v="Premium"/>
    <s v="4yrs"/>
  </r>
  <r>
    <x v="276"/>
    <x v="276"/>
    <x v="0"/>
    <n v="31"/>
    <x v="2"/>
    <x v="3"/>
    <n v="89298"/>
    <x v="0"/>
    <x v="262"/>
    <x v="0"/>
    <s v="Medium"/>
    <s v="7yrs"/>
  </r>
  <r>
    <x v="277"/>
    <x v="277"/>
    <x v="1"/>
    <n v="48"/>
    <x v="2"/>
    <x v="0"/>
    <n v="66167"/>
    <x v="2"/>
    <x v="263"/>
    <x v="0"/>
    <s v="Medium"/>
    <s v="6yrs"/>
  </r>
  <r>
    <x v="278"/>
    <x v="278"/>
    <x v="0"/>
    <n v="69"/>
    <x v="1"/>
    <x v="5"/>
    <n v="194480"/>
    <x v="0"/>
    <x v="264"/>
    <x v="2"/>
    <s v="Premium"/>
    <s v="7yrs"/>
  </r>
  <r>
    <x v="279"/>
    <x v="279"/>
    <x v="1"/>
    <n v="36"/>
    <x v="2"/>
    <x v="6"/>
    <n v="59499"/>
    <x v="1"/>
    <x v="265"/>
    <x v="0"/>
    <s v="Medium"/>
    <s v="8yrs"/>
  </r>
  <r>
    <x v="280"/>
    <x v="280"/>
    <x v="1"/>
    <n v="64"/>
    <x v="1"/>
    <x v="4"/>
    <n v="145816"/>
    <x v="2"/>
    <x v="266"/>
    <x v="2"/>
    <s v="High"/>
    <s v="3yrs"/>
  </r>
  <r>
    <x v="281"/>
    <x v="281"/>
    <x v="1"/>
    <n v="33"/>
    <x v="3"/>
    <x v="0"/>
    <n v="189631"/>
    <x v="0"/>
    <x v="267"/>
    <x v="0"/>
    <s v="Premium"/>
    <s v="8yrs"/>
  </r>
  <r>
    <x v="282"/>
    <x v="282"/>
    <x v="1"/>
    <n v="70"/>
    <x v="3"/>
    <x v="2"/>
    <n v="116347"/>
    <x v="0"/>
    <x v="119"/>
    <x v="2"/>
    <s v="High"/>
    <s v="8yrs"/>
  </r>
  <r>
    <x v="283"/>
    <x v="283"/>
    <x v="0"/>
    <n v="22"/>
    <x v="0"/>
    <x v="1"/>
    <n v="68787"/>
    <x v="0"/>
    <x v="268"/>
    <x v="0"/>
    <s v="Medium"/>
    <s v="9yrs"/>
  </r>
  <r>
    <x v="284"/>
    <x v="284"/>
    <x v="1"/>
    <n v="52"/>
    <x v="3"/>
    <x v="3"/>
    <n v="55488"/>
    <x v="0"/>
    <x v="269"/>
    <x v="0"/>
    <s v="Medium"/>
    <s v="4yrs"/>
  </r>
  <r>
    <x v="285"/>
    <x v="285"/>
    <x v="0"/>
    <n v="29"/>
    <x v="2"/>
    <x v="5"/>
    <n v="94441"/>
    <x v="0"/>
    <x v="270"/>
    <x v="0"/>
    <s v="Medium"/>
    <s v="5yrs"/>
  </r>
  <r>
    <x v="286"/>
    <x v="286"/>
    <x v="0"/>
    <n v="42"/>
    <x v="3"/>
    <x v="3"/>
    <n v="42431"/>
    <x v="1"/>
    <x v="271"/>
    <x v="0"/>
    <s v="Low"/>
    <s v="0yrs"/>
  </r>
  <r>
    <x v="287"/>
    <x v="287"/>
    <x v="0"/>
    <n v="69"/>
    <x v="1"/>
    <x v="6"/>
    <n v="81681"/>
    <x v="0"/>
    <x v="272"/>
    <x v="2"/>
    <s v="Medium"/>
    <s v="2yrs"/>
  </r>
  <r>
    <x v="288"/>
    <x v="288"/>
    <x v="0"/>
    <n v="38"/>
    <x v="3"/>
    <x v="2"/>
    <n v="142720"/>
    <x v="0"/>
    <x v="273"/>
    <x v="0"/>
    <s v="High"/>
    <s v="4yrs"/>
  </r>
  <r>
    <x v="289"/>
    <x v="289"/>
    <x v="1"/>
    <n v="53"/>
    <x v="0"/>
    <x v="3"/>
    <n v="69153"/>
    <x v="2"/>
    <x v="274"/>
    <x v="0"/>
    <s v="Medium"/>
    <s v="9yrs"/>
  </r>
  <r>
    <x v="290"/>
    <x v="290"/>
    <x v="0"/>
    <n v="70"/>
    <x v="3"/>
    <x v="5"/>
    <n v="26368"/>
    <x v="1"/>
    <x v="275"/>
    <x v="2"/>
    <s v="Low"/>
    <s v="6yrs"/>
  </r>
  <r>
    <x v="291"/>
    <x v="291"/>
    <x v="0"/>
    <n v="40"/>
    <x v="1"/>
    <x v="2"/>
    <n v="178496"/>
    <x v="1"/>
    <x v="142"/>
    <x v="0"/>
    <s v="Premium"/>
    <s v="2yrs"/>
  </r>
  <r>
    <x v="292"/>
    <x v="292"/>
    <x v="0"/>
    <n v="33"/>
    <x v="1"/>
    <x v="3"/>
    <n v="132360"/>
    <x v="0"/>
    <x v="276"/>
    <x v="0"/>
    <s v="High"/>
    <s v="8yrs"/>
  </r>
  <r>
    <x v="293"/>
    <x v="293"/>
    <x v="1"/>
    <n v="74"/>
    <x v="2"/>
    <x v="1"/>
    <n v="196076"/>
    <x v="1"/>
    <x v="221"/>
    <x v="2"/>
    <s v="Premium"/>
    <s v="7yrs"/>
  </r>
  <r>
    <x v="294"/>
    <x v="294"/>
    <x v="1"/>
    <n v="56"/>
    <x v="3"/>
    <x v="4"/>
    <n v="132755"/>
    <x v="0"/>
    <x v="277"/>
    <x v="0"/>
    <s v="High"/>
    <s v="9yrs"/>
  </r>
  <r>
    <x v="295"/>
    <x v="295"/>
    <x v="1"/>
    <n v="62"/>
    <x v="1"/>
    <x v="2"/>
    <n v="76985"/>
    <x v="0"/>
    <x v="278"/>
    <x v="2"/>
    <s v="Medium"/>
    <s v="3yrs"/>
  </r>
  <r>
    <x v="296"/>
    <x v="296"/>
    <x v="1"/>
    <n v="70"/>
    <x v="0"/>
    <x v="4"/>
    <n v="70069"/>
    <x v="0"/>
    <x v="279"/>
    <x v="2"/>
    <s v="Medium"/>
    <s v="2yrs"/>
  </r>
  <r>
    <x v="297"/>
    <x v="297"/>
    <x v="0"/>
    <n v="59"/>
    <x v="2"/>
    <x v="2"/>
    <n v="72326"/>
    <x v="1"/>
    <x v="35"/>
    <x v="2"/>
    <s v="Medium"/>
    <s v="8yrs"/>
  </r>
  <r>
    <x v="298"/>
    <x v="298"/>
    <x v="0"/>
    <n v="56"/>
    <x v="0"/>
    <x v="1"/>
    <n v="128737"/>
    <x v="0"/>
    <x v="280"/>
    <x v="0"/>
    <s v="High"/>
    <s v="2yrs"/>
  </r>
  <r>
    <x v="299"/>
    <x v="299"/>
    <x v="1"/>
    <n v="31"/>
    <x v="3"/>
    <x v="4"/>
    <n v="174470"/>
    <x v="0"/>
    <x v="281"/>
    <x v="0"/>
    <s v="Premium"/>
    <s v="1yrs"/>
  </r>
  <r>
    <x v="300"/>
    <x v="300"/>
    <x v="0"/>
    <n v="48"/>
    <x v="3"/>
    <x v="0"/>
    <n v="70861"/>
    <x v="0"/>
    <x v="282"/>
    <x v="0"/>
    <s v="Medium"/>
    <s v="1yrs"/>
  </r>
  <r>
    <x v="301"/>
    <x v="301"/>
    <x v="0"/>
    <n v="22"/>
    <x v="3"/>
    <x v="5"/>
    <n v="95897"/>
    <x v="0"/>
    <x v="283"/>
    <x v="0"/>
    <s v="Medium"/>
    <s v="3yrs"/>
  </r>
  <r>
    <x v="302"/>
    <x v="302"/>
    <x v="0"/>
    <n v="52"/>
    <x v="2"/>
    <x v="0"/>
    <n v="147118"/>
    <x v="1"/>
    <x v="284"/>
    <x v="0"/>
    <s v="High"/>
    <s v="2yrs"/>
  </r>
  <r>
    <x v="303"/>
    <x v="303"/>
    <x v="1"/>
    <n v="40"/>
    <x v="1"/>
    <x v="3"/>
    <n v="88577"/>
    <x v="1"/>
    <x v="285"/>
    <x v="0"/>
    <s v="Medium"/>
    <s v="7yrs"/>
  </r>
  <r>
    <x v="304"/>
    <x v="304"/>
    <x v="1"/>
    <n v="46"/>
    <x v="2"/>
    <x v="1"/>
    <n v="29078"/>
    <x v="1"/>
    <x v="286"/>
    <x v="0"/>
    <s v="Low"/>
    <s v="7yrs"/>
  </r>
  <r>
    <x v="305"/>
    <x v="305"/>
    <x v="0"/>
    <n v="60"/>
    <x v="0"/>
    <x v="0"/>
    <n v="176075"/>
    <x v="0"/>
    <x v="287"/>
    <x v="2"/>
    <s v="Premium"/>
    <s v="7yrs"/>
  </r>
  <r>
    <x v="306"/>
    <x v="306"/>
    <x v="1"/>
    <n v="28"/>
    <x v="2"/>
    <x v="2"/>
    <n v="82768"/>
    <x v="0"/>
    <x v="288"/>
    <x v="0"/>
    <s v="Medium"/>
    <s v="9yrs"/>
  </r>
  <r>
    <x v="307"/>
    <x v="307"/>
    <x v="1"/>
    <n v="35"/>
    <x v="0"/>
    <x v="3"/>
    <n v="71047"/>
    <x v="0"/>
    <x v="87"/>
    <x v="0"/>
    <s v="Medium"/>
    <s v="10yrs"/>
  </r>
  <r>
    <x v="308"/>
    <x v="308"/>
    <x v="1"/>
    <n v="64"/>
    <x v="2"/>
    <x v="3"/>
    <n v="91626"/>
    <x v="0"/>
    <x v="289"/>
    <x v="2"/>
    <s v="Medium"/>
    <s v="9yrs"/>
  </r>
  <r>
    <x v="309"/>
    <x v="309"/>
    <x v="1"/>
    <n v="29"/>
    <x v="1"/>
    <x v="0"/>
    <n v="77660"/>
    <x v="0"/>
    <x v="290"/>
    <x v="0"/>
    <s v="Medium"/>
    <s v="8yrs"/>
  </r>
  <r>
    <x v="310"/>
    <x v="310"/>
    <x v="1"/>
    <n v="26"/>
    <x v="0"/>
    <x v="0"/>
    <n v="152997"/>
    <x v="1"/>
    <x v="291"/>
    <x v="0"/>
    <s v="Premium"/>
    <s v="8yrs"/>
  </r>
  <r>
    <x v="311"/>
    <x v="311"/>
    <x v="0"/>
    <n v="27"/>
    <x v="3"/>
    <x v="1"/>
    <n v="137832"/>
    <x v="0"/>
    <x v="166"/>
    <x v="0"/>
    <s v="High"/>
    <s v="5yrs"/>
  </r>
  <r>
    <x v="312"/>
    <x v="312"/>
    <x v="1"/>
    <n v="61"/>
    <x v="3"/>
    <x v="5"/>
    <n v="150406"/>
    <x v="0"/>
    <x v="292"/>
    <x v="2"/>
    <s v="Premium"/>
    <s v="6yrs"/>
  </r>
  <r>
    <x v="313"/>
    <x v="313"/>
    <x v="0"/>
    <n v="34"/>
    <x v="2"/>
    <x v="0"/>
    <n v="145150"/>
    <x v="0"/>
    <x v="293"/>
    <x v="0"/>
    <s v="High"/>
    <s v="3yrs"/>
  </r>
  <r>
    <x v="314"/>
    <x v="314"/>
    <x v="0"/>
    <n v="55"/>
    <x v="3"/>
    <x v="6"/>
    <n v="177087"/>
    <x v="0"/>
    <x v="294"/>
    <x v="0"/>
    <s v="Premium"/>
    <s v="0yrs"/>
  </r>
  <r>
    <x v="315"/>
    <x v="315"/>
    <x v="1"/>
    <n v="24"/>
    <x v="0"/>
    <x v="0"/>
    <n v="53320"/>
    <x v="0"/>
    <x v="19"/>
    <x v="0"/>
    <s v="Medium"/>
    <s v="2yrs"/>
  </r>
  <r>
    <x v="316"/>
    <x v="316"/>
    <x v="0"/>
    <n v="63"/>
    <x v="3"/>
    <x v="4"/>
    <n v="84881"/>
    <x v="2"/>
    <x v="295"/>
    <x v="2"/>
    <s v="Medium"/>
    <s v="3yrs"/>
  </r>
  <r>
    <x v="317"/>
    <x v="317"/>
    <x v="0"/>
    <n v="30"/>
    <x v="1"/>
    <x v="2"/>
    <n v="110827"/>
    <x v="1"/>
    <x v="296"/>
    <x v="0"/>
    <s v="High"/>
    <s v="9yrs"/>
  </r>
  <r>
    <x v="318"/>
    <x v="318"/>
    <x v="0"/>
    <n v="57"/>
    <x v="1"/>
    <x v="6"/>
    <n v="122215"/>
    <x v="2"/>
    <x v="297"/>
    <x v="0"/>
    <s v="High"/>
    <s v="6yrs"/>
  </r>
  <r>
    <x v="319"/>
    <x v="319"/>
    <x v="1"/>
    <n v="59"/>
    <x v="2"/>
    <x v="6"/>
    <n v="177361"/>
    <x v="0"/>
    <x v="298"/>
    <x v="2"/>
    <s v="Premium"/>
    <s v="2yrs"/>
  </r>
  <r>
    <x v="320"/>
    <x v="320"/>
    <x v="1"/>
    <n v="26"/>
    <x v="0"/>
    <x v="4"/>
    <n v="154461"/>
    <x v="0"/>
    <x v="299"/>
    <x v="0"/>
    <s v="Premium"/>
    <s v="2yrs"/>
  </r>
  <r>
    <x v="321"/>
    <x v="321"/>
    <x v="0"/>
    <n v="67"/>
    <x v="1"/>
    <x v="4"/>
    <n v="176755"/>
    <x v="0"/>
    <x v="300"/>
    <x v="2"/>
    <s v="Premium"/>
    <s v="6yrs"/>
  </r>
  <r>
    <x v="322"/>
    <x v="322"/>
    <x v="1"/>
    <n v="44"/>
    <x v="1"/>
    <x v="3"/>
    <n v="164701"/>
    <x v="0"/>
    <x v="301"/>
    <x v="0"/>
    <s v="Premium"/>
    <s v="7yrs"/>
  </r>
  <r>
    <x v="323"/>
    <x v="323"/>
    <x v="1"/>
    <n v="19"/>
    <x v="0"/>
    <x v="5"/>
    <n v="81550"/>
    <x v="1"/>
    <x v="131"/>
    <x v="1"/>
    <s v="Medium"/>
    <s v="8yrs"/>
  </r>
  <r>
    <x v="324"/>
    <x v="324"/>
    <x v="1"/>
    <n v="22"/>
    <x v="3"/>
    <x v="2"/>
    <n v="44826"/>
    <x v="0"/>
    <x v="302"/>
    <x v="0"/>
    <s v="Low"/>
    <s v="3yrs"/>
  </r>
  <r>
    <x v="325"/>
    <x v="325"/>
    <x v="1"/>
    <n v="46"/>
    <x v="3"/>
    <x v="1"/>
    <n v="120734"/>
    <x v="0"/>
    <x v="303"/>
    <x v="0"/>
    <s v="High"/>
    <s v="5yrs"/>
  </r>
  <r>
    <x v="326"/>
    <x v="326"/>
    <x v="0"/>
    <n v="54"/>
    <x v="2"/>
    <x v="6"/>
    <n v="177702"/>
    <x v="0"/>
    <x v="304"/>
    <x v="0"/>
    <s v="Premium"/>
    <s v="2yrs"/>
  </r>
  <r>
    <x v="327"/>
    <x v="327"/>
    <x v="0"/>
    <n v="55"/>
    <x v="3"/>
    <x v="1"/>
    <n v="197235"/>
    <x v="0"/>
    <x v="305"/>
    <x v="0"/>
    <s v="Premium"/>
    <s v="4yrs"/>
  </r>
  <r>
    <x v="328"/>
    <x v="328"/>
    <x v="1"/>
    <n v="36"/>
    <x v="0"/>
    <x v="0"/>
    <n v="118511"/>
    <x v="1"/>
    <x v="306"/>
    <x v="0"/>
    <s v="High"/>
    <s v="3yrs"/>
  </r>
  <r>
    <x v="329"/>
    <x v="329"/>
    <x v="1"/>
    <n v="25"/>
    <x v="1"/>
    <x v="0"/>
    <n v="31653"/>
    <x v="0"/>
    <x v="307"/>
    <x v="0"/>
    <s v="Low"/>
    <s v="8yrs"/>
  </r>
  <r>
    <x v="330"/>
    <x v="330"/>
    <x v="0"/>
    <n v="65"/>
    <x v="3"/>
    <x v="1"/>
    <n v="179033"/>
    <x v="0"/>
    <x v="308"/>
    <x v="2"/>
    <s v="Premium"/>
    <s v="5yrs"/>
  </r>
  <r>
    <x v="331"/>
    <x v="331"/>
    <x v="0"/>
    <n v="62"/>
    <x v="2"/>
    <x v="0"/>
    <n v="101941"/>
    <x v="0"/>
    <x v="309"/>
    <x v="2"/>
    <s v="High"/>
    <s v="4yrs"/>
  </r>
  <r>
    <x v="332"/>
    <x v="332"/>
    <x v="1"/>
    <n v="18"/>
    <x v="3"/>
    <x v="5"/>
    <n v="53662"/>
    <x v="0"/>
    <x v="310"/>
    <x v="3"/>
    <s v="Medium"/>
    <s v="9yrs"/>
  </r>
  <r>
    <x v="333"/>
    <x v="333"/>
    <x v="0"/>
    <n v="39"/>
    <x v="0"/>
    <x v="4"/>
    <n v="118818"/>
    <x v="1"/>
    <x v="311"/>
    <x v="0"/>
    <s v="High"/>
    <s v="6yrs"/>
  </r>
  <r>
    <x v="334"/>
    <x v="334"/>
    <x v="1"/>
    <n v="69"/>
    <x v="2"/>
    <x v="0"/>
    <n v="172360"/>
    <x v="1"/>
    <x v="312"/>
    <x v="2"/>
    <s v="Premium"/>
    <s v="3yrs"/>
  </r>
  <r>
    <x v="335"/>
    <x v="335"/>
    <x v="1"/>
    <n v="34"/>
    <x v="3"/>
    <x v="3"/>
    <n v="115081"/>
    <x v="2"/>
    <x v="131"/>
    <x v="0"/>
    <s v="High"/>
    <s v="8yrs"/>
  </r>
  <r>
    <x v="336"/>
    <x v="336"/>
    <x v="0"/>
    <n v="24"/>
    <x v="2"/>
    <x v="0"/>
    <n v="56877"/>
    <x v="1"/>
    <x v="313"/>
    <x v="0"/>
    <s v="Medium"/>
    <s v="0yrs"/>
  </r>
  <r>
    <x v="337"/>
    <x v="337"/>
    <x v="0"/>
    <n v="42"/>
    <x v="0"/>
    <x v="2"/>
    <n v="131562"/>
    <x v="0"/>
    <x v="314"/>
    <x v="0"/>
    <s v="High"/>
    <s v="2yrs"/>
  </r>
  <r>
    <x v="338"/>
    <x v="338"/>
    <x v="1"/>
    <n v="62"/>
    <x v="1"/>
    <x v="5"/>
    <n v="166385"/>
    <x v="1"/>
    <x v="315"/>
    <x v="2"/>
    <s v="Premium"/>
    <s v="7yrs"/>
  </r>
  <r>
    <x v="339"/>
    <x v="339"/>
    <x v="1"/>
    <n v="21"/>
    <x v="0"/>
    <x v="2"/>
    <n v="92715"/>
    <x v="0"/>
    <x v="316"/>
    <x v="0"/>
    <s v="Medium"/>
    <s v="8yrs"/>
  </r>
  <r>
    <x v="340"/>
    <x v="340"/>
    <x v="0"/>
    <n v="53"/>
    <x v="0"/>
    <x v="2"/>
    <n v="161398"/>
    <x v="0"/>
    <x v="317"/>
    <x v="0"/>
    <s v="Premium"/>
    <s v="8yrs"/>
  </r>
  <r>
    <x v="341"/>
    <x v="341"/>
    <x v="1"/>
    <n v="23"/>
    <x v="0"/>
    <x v="3"/>
    <n v="130091"/>
    <x v="1"/>
    <x v="318"/>
    <x v="0"/>
    <s v="High"/>
    <s v="2yrs"/>
  </r>
  <r>
    <x v="342"/>
    <x v="342"/>
    <x v="0"/>
    <n v="48"/>
    <x v="0"/>
    <x v="5"/>
    <n v="152632"/>
    <x v="0"/>
    <x v="319"/>
    <x v="0"/>
    <s v="Premium"/>
    <s v="7yrs"/>
  </r>
  <r>
    <x v="343"/>
    <x v="343"/>
    <x v="1"/>
    <n v="36"/>
    <x v="1"/>
    <x v="5"/>
    <n v="99148"/>
    <x v="2"/>
    <x v="320"/>
    <x v="0"/>
    <s v="Medium"/>
    <s v="7yrs"/>
  </r>
  <r>
    <x v="344"/>
    <x v="344"/>
    <x v="0"/>
    <n v="61"/>
    <x v="1"/>
    <x v="5"/>
    <n v="103186"/>
    <x v="0"/>
    <x v="321"/>
    <x v="2"/>
    <s v="High"/>
    <s v="6yrs"/>
  </r>
  <r>
    <x v="345"/>
    <x v="345"/>
    <x v="0"/>
    <n v="71"/>
    <x v="2"/>
    <x v="5"/>
    <n v="177817"/>
    <x v="1"/>
    <x v="322"/>
    <x v="2"/>
    <s v="Premium"/>
    <s v="3yrs"/>
  </r>
  <r>
    <x v="346"/>
    <x v="346"/>
    <x v="0"/>
    <n v="56"/>
    <x v="3"/>
    <x v="5"/>
    <n v="182962"/>
    <x v="1"/>
    <x v="135"/>
    <x v="0"/>
    <s v="Premium"/>
    <s v="1yrs"/>
  </r>
  <r>
    <x v="347"/>
    <x v="347"/>
    <x v="1"/>
    <n v="44"/>
    <x v="1"/>
    <x v="3"/>
    <n v="171094"/>
    <x v="1"/>
    <x v="323"/>
    <x v="0"/>
    <s v="Premium"/>
    <s v="6yrs"/>
  </r>
  <r>
    <x v="348"/>
    <x v="348"/>
    <x v="1"/>
    <n v="27"/>
    <x v="1"/>
    <x v="0"/>
    <n v="143629"/>
    <x v="1"/>
    <x v="324"/>
    <x v="0"/>
    <s v="High"/>
    <s v="0yrs"/>
  </r>
  <r>
    <x v="349"/>
    <x v="349"/>
    <x v="0"/>
    <n v="43"/>
    <x v="3"/>
    <x v="2"/>
    <n v="90316"/>
    <x v="1"/>
    <x v="325"/>
    <x v="0"/>
    <s v="Medium"/>
    <s v="2yrs"/>
  </r>
  <r>
    <x v="350"/>
    <x v="350"/>
    <x v="1"/>
    <n v="36"/>
    <x v="1"/>
    <x v="5"/>
    <n v="48380"/>
    <x v="0"/>
    <x v="326"/>
    <x v="0"/>
    <s v="Low"/>
    <s v="4yrs"/>
  </r>
  <r>
    <x v="351"/>
    <x v="351"/>
    <x v="0"/>
    <n v="56"/>
    <x v="0"/>
    <x v="6"/>
    <n v="130198"/>
    <x v="0"/>
    <x v="327"/>
    <x v="0"/>
    <s v="High"/>
    <s v="5yrs"/>
  </r>
  <r>
    <x v="352"/>
    <x v="352"/>
    <x v="0"/>
    <n v="20"/>
    <x v="0"/>
    <x v="0"/>
    <n v="22356"/>
    <x v="0"/>
    <x v="328"/>
    <x v="1"/>
    <s v="Low"/>
    <s v="6yrs"/>
  </r>
  <r>
    <x v="353"/>
    <x v="353"/>
    <x v="1"/>
    <n v="62"/>
    <x v="3"/>
    <x v="0"/>
    <n v="90326"/>
    <x v="1"/>
    <x v="329"/>
    <x v="2"/>
    <s v="Medium"/>
    <s v="5yrs"/>
  </r>
  <r>
    <x v="354"/>
    <x v="354"/>
    <x v="1"/>
    <n v="30"/>
    <x v="2"/>
    <x v="2"/>
    <n v="112447"/>
    <x v="0"/>
    <x v="303"/>
    <x v="0"/>
    <s v="High"/>
    <s v="5yrs"/>
  </r>
  <r>
    <x v="355"/>
    <x v="355"/>
    <x v="0"/>
    <n v="67"/>
    <x v="2"/>
    <x v="3"/>
    <n v="134994"/>
    <x v="1"/>
    <x v="330"/>
    <x v="2"/>
    <s v="High"/>
    <s v="7yrs"/>
  </r>
  <r>
    <x v="356"/>
    <x v="356"/>
    <x v="1"/>
    <n v="45"/>
    <x v="3"/>
    <x v="1"/>
    <n v="40049"/>
    <x v="0"/>
    <x v="331"/>
    <x v="0"/>
    <s v="Low"/>
    <s v="4yrs"/>
  </r>
  <r>
    <x v="357"/>
    <x v="357"/>
    <x v="1"/>
    <n v="37"/>
    <x v="3"/>
    <x v="1"/>
    <n v="125361"/>
    <x v="0"/>
    <x v="332"/>
    <x v="0"/>
    <s v="High"/>
    <s v="4yrs"/>
  </r>
  <r>
    <x v="358"/>
    <x v="358"/>
    <x v="0"/>
    <n v="45"/>
    <x v="0"/>
    <x v="0"/>
    <n v="36082"/>
    <x v="1"/>
    <x v="333"/>
    <x v="0"/>
    <s v="Low"/>
    <s v="2yrs"/>
  </r>
  <r>
    <x v="359"/>
    <x v="359"/>
    <x v="0"/>
    <n v="25"/>
    <x v="2"/>
    <x v="4"/>
    <n v="20661"/>
    <x v="0"/>
    <x v="334"/>
    <x v="0"/>
    <s v="Low"/>
    <s v="3yrs"/>
  </r>
  <r>
    <x v="360"/>
    <x v="360"/>
    <x v="1"/>
    <n v="58"/>
    <x v="1"/>
    <x v="4"/>
    <n v="188484"/>
    <x v="0"/>
    <x v="335"/>
    <x v="2"/>
    <s v="Premium"/>
    <s v="1yrs"/>
  </r>
  <r>
    <x v="361"/>
    <x v="361"/>
    <x v="0"/>
    <n v="56"/>
    <x v="0"/>
    <x v="2"/>
    <n v="22920"/>
    <x v="0"/>
    <x v="336"/>
    <x v="0"/>
    <s v="Low"/>
    <s v="9yrs"/>
  </r>
  <r>
    <x v="362"/>
    <x v="362"/>
    <x v="0"/>
    <n v="18"/>
    <x v="3"/>
    <x v="1"/>
    <n v="99561"/>
    <x v="2"/>
    <x v="337"/>
    <x v="3"/>
    <s v="Medium"/>
    <s v="9yrs"/>
  </r>
  <r>
    <x v="363"/>
    <x v="363"/>
    <x v="1"/>
    <n v="20"/>
    <x v="2"/>
    <x v="0"/>
    <n v="28946"/>
    <x v="1"/>
    <x v="338"/>
    <x v="1"/>
    <s v="Low"/>
    <s v="9yrs"/>
  </r>
  <r>
    <x v="364"/>
    <x v="364"/>
    <x v="0"/>
    <n v="30"/>
    <x v="1"/>
    <x v="3"/>
    <n v="196572"/>
    <x v="0"/>
    <x v="339"/>
    <x v="0"/>
    <s v="Premium"/>
    <s v="0yrs"/>
  </r>
  <r>
    <x v="365"/>
    <x v="365"/>
    <x v="0"/>
    <n v="45"/>
    <x v="1"/>
    <x v="1"/>
    <n v="36309"/>
    <x v="0"/>
    <x v="340"/>
    <x v="0"/>
    <s v="Low"/>
    <s v="5yrs"/>
  </r>
  <r>
    <x v="366"/>
    <x v="366"/>
    <x v="1"/>
    <n v="74"/>
    <x v="0"/>
    <x v="0"/>
    <n v="75230"/>
    <x v="0"/>
    <x v="341"/>
    <x v="2"/>
    <s v="Medium"/>
    <s v="5yrs"/>
  </r>
  <r>
    <x v="367"/>
    <x v="367"/>
    <x v="1"/>
    <n v="66"/>
    <x v="2"/>
    <x v="0"/>
    <n v="131822"/>
    <x v="1"/>
    <x v="342"/>
    <x v="2"/>
    <s v="High"/>
    <s v="5yrs"/>
  </r>
  <r>
    <x v="368"/>
    <x v="368"/>
    <x v="0"/>
    <n v="42"/>
    <x v="2"/>
    <x v="5"/>
    <n v="181099"/>
    <x v="1"/>
    <x v="333"/>
    <x v="0"/>
    <s v="Premium"/>
    <s v="2yrs"/>
  </r>
  <r>
    <x v="369"/>
    <x v="369"/>
    <x v="0"/>
    <n v="73"/>
    <x v="3"/>
    <x v="3"/>
    <n v="132340"/>
    <x v="0"/>
    <x v="343"/>
    <x v="2"/>
    <s v="High"/>
    <s v="9yrs"/>
  </r>
  <r>
    <x v="370"/>
    <x v="370"/>
    <x v="1"/>
    <n v="50"/>
    <x v="2"/>
    <x v="5"/>
    <n v="79321"/>
    <x v="0"/>
    <x v="344"/>
    <x v="0"/>
    <s v="Medium"/>
    <s v="7yrs"/>
  </r>
  <r>
    <x v="371"/>
    <x v="371"/>
    <x v="1"/>
    <n v="55"/>
    <x v="2"/>
    <x v="2"/>
    <n v="152028"/>
    <x v="0"/>
    <x v="22"/>
    <x v="0"/>
    <s v="Premium"/>
    <s v="3yrs"/>
  </r>
  <r>
    <x v="372"/>
    <x v="372"/>
    <x v="1"/>
    <n v="70"/>
    <x v="0"/>
    <x v="5"/>
    <n v="94131"/>
    <x v="1"/>
    <x v="345"/>
    <x v="2"/>
    <s v="Medium"/>
    <s v="1yrs"/>
  </r>
  <r>
    <x v="373"/>
    <x v="373"/>
    <x v="1"/>
    <n v="23"/>
    <x v="2"/>
    <x v="6"/>
    <n v="198980"/>
    <x v="1"/>
    <x v="346"/>
    <x v="0"/>
    <s v="Premium"/>
    <s v="5yrs"/>
  </r>
  <r>
    <x v="374"/>
    <x v="374"/>
    <x v="0"/>
    <n v="61"/>
    <x v="1"/>
    <x v="5"/>
    <n v="45963"/>
    <x v="0"/>
    <x v="347"/>
    <x v="2"/>
    <s v="Low"/>
    <s v="3yrs"/>
  </r>
  <r>
    <x v="375"/>
    <x v="375"/>
    <x v="1"/>
    <n v="62"/>
    <x v="0"/>
    <x v="6"/>
    <n v="121757"/>
    <x v="0"/>
    <x v="348"/>
    <x v="2"/>
    <s v="High"/>
    <s v="9yrs"/>
  </r>
  <r>
    <x v="376"/>
    <x v="376"/>
    <x v="1"/>
    <n v="49"/>
    <x v="0"/>
    <x v="1"/>
    <n v="190515"/>
    <x v="0"/>
    <x v="349"/>
    <x v="0"/>
    <s v="Premium"/>
    <s v="2yrs"/>
  </r>
  <r>
    <x v="377"/>
    <x v="377"/>
    <x v="0"/>
    <n v="62"/>
    <x v="3"/>
    <x v="4"/>
    <n v="119259"/>
    <x v="2"/>
    <x v="350"/>
    <x v="2"/>
    <s v="High"/>
    <s v="8yrs"/>
  </r>
  <r>
    <x v="378"/>
    <x v="378"/>
    <x v="1"/>
    <n v="64"/>
    <x v="2"/>
    <x v="0"/>
    <n v="59063"/>
    <x v="0"/>
    <x v="351"/>
    <x v="2"/>
    <s v="Medium"/>
    <s v="2yrs"/>
  </r>
  <r>
    <x v="379"/>
    <x v="379"/>
    <x v="0"/>
    <n v="38"/>
    <x v="3"/>
    <x v="6"/>
    <n v="134225"/>
    <x v="1"/>
    <x v="352"/>
    <x v="0"/>
    <s v="High"/>
    <s v="3yrs"/>
  </r>
  <r>
    <x v="380"/>
    <x v="380"/>
    <x v="1"/>
    <n v="33"/>
    <x v="1"/>
    <x v="3"/>
    <n v="136400"/>
    <x v="1"/>
    <x v="353"/>
    <x v="0"/>
    <s v="High"/>
    <s v="6yrs"/>
  </r>
  <r>
    <x v="381"/>
    <x v="381"/>
    <x v="1"/>
    <n v="71"/>
    <x v="0"/>
    <x v="5"/>
    <n v="100818"/>
    <x v="0"/>
    <x v="354"/>
    <x v="2"/>
    <s v="High"/>
    <s v="5yrs"/>
  </r>
  <r>
    <x v="382"/>
    <x v="382"/>
    <x v="1"/>
    <n v="38"/>
    <x v="0"/>
    <x v="6"/>
    <n v="24703"/>
    <x v="0"/>
    <x v="355"/>
    <x v="0"/>
    <s v="Low"/>
    <s v="2yrs"/>
  </r>
  <r>
    <x v="383"/>
    <x v="383"/>
    <x v="0"/>
    <n v="28"/>
    <x v="0"/>
    <x v="3"/>
    <n v="92099"/>
    <x v="0"/>
    <x v="356"/>
    <x v="0"/>
    <s v="Medium"/>
    <s v="4yrs"/>
  </r>
  <r>
    <x v="384"/>
    <x v="384"/>
    <x v="0"/>
    <n v="54"/>
    <x v="1"/>
    <x v="4"/>
    <n v="176921"/>
    <x v="1"/>
    <x v="357"/>
    <x v="0"/>
    <s v="Premium"/>
    <s v="2yrs"/>
  </r>
  <r>
    <x v="385"/>
    <x v="385"/>
    <x v="1"/>
    <n v="53"/>
    <x v="1"/>
    <x v="4"/>
    <n v="182932"/>
    <x v="1"/>
    <x v="358"/>
    <x v="0"/>
    <s v="Premium"/>
    <s v="2yrs"/>
  </r>
  <r>
    <x v="386"/>
    <x v="386"/>
    <x v="0"/>
    <n v="52"/>
    <x v="3"/>
    <x v="5"/>
    <n v="51585"/>
    <x v="1"/>
    <x v="359"/>
    <x v="0"/>
    <s v="Medium"/>
    <s v="6yrs"/>
  </r>
  <r>
    <x v="387"/>
    <x v="387"/>
    <x v="0"/>
    <n v="36"/>
    <x v="3"/>
    <x v="2"/>
    <n v="173087"/>
    <x v="0"/>
    <x v="360"/>
    <x v="0"/>
    <s v="Premium"/>
    <s v="5yrs"/>
  </r>
  <r>
    <x v="388"/>
    <x v="388"/>
    <x v="0"/>
    <n v="37"/>
    <x v="3"/>
    <x v="5"/>
    <n v="63585"/>
    <x v="0"/>
    <x v="361"/>
    <x v="0"/>
    <s v="Medium"/>
    <s v="8yrs"/>
  </r>
  <r>
    <x v="389"/>
    <x v="389"/>
    <x v="0"/>
    <n v="74"/>
    <x v="2"/>
    <x v="1"/>
    <n v="46958"/>
    <x v="2"/>
    <x v="362"/>
    <x v="2"/>
    <s v="Low"/>
    <s v="4yrs"/>
  </r>
  <r>
    <x v="390"/>
    <x v="390"/>
    <x v="0"/>
    <n v="35"/>
    <x v="0"/>
    <x v="6"/>
    <n v="46017"/>
    <x v="1"/>
    <x v="363"/>
    <x v="0"/>
    <s v="Low"/>
    <s v="8yrs"/>
  </r>
  <r>
    <x v="391"/>
    <x v="391"/>
    <x v="0"/>
    <n v="64"/>
    <x v="0"/>
    <x v="0"/>
    <n v="144677"/>
    <x v="0"/>
    <x v="364"/>
    <x v="2"/>
    <s v="High"/>
    <s v="6yrs"/>
  </r>
  <r>
    <x v="392"/>
    <x v="392"/>
    <x v="1"/>
    <n v="58"/>
    <x v="3"/>
    <x v="2"/>
    <n v="196422"/>
    <x v="2"/>
    <x v="365"/>
    <x v="2"/>
    <s v="Premium"/>
    <s v="3yrs"/>
  </r>
  <r>
    <x v="393"/>
    <x v="393"/>
    <x v="1"/>
    <n v="66"/>
    <x v="0"/>
    <x v="5"/>
    <n v="163273"/>
    <x v="1"/>
    <x v="366"/>
    <x v="2"/>
    <s v="Premium"/>
    <s v="9yrs"/>
  </r>
  <r>
    <x v="394"/>
    <x v="394"/>
    <x v="0"/>
    <n v="31"/>
    <x v="3"/>
    <x v="3"/>
    <n v="49426"/>
    <x v="0"/>
    <x v="367"/>
    <x v="0"/>
    <s v="Low"/>
    <s v="1yrs"/>
  </r>
  <r>
    <x v="395"/>
    <x v="395"/>
    <x v="1"/>
    <n v="32"/>
    <x v="2"/>
    <x v="2"/>
    <n v="37778"/>
    <x v="1"/>
    <x v="293"/>
    <x v="0"/>
    <s v="Low"/>
    <s v="3yrs"/>
  </r>
  <r>
    <x v="396"/>
    <x v="396"/>
    <x v="1"/>
    <n v="48"/>
    <x v="2"/>
    <x v="6"/>
    <n v="196313"/>
    <x v="1"/>
    <x v="368"/>
    <x v="0"/>
    <s v="Premium"/>
    <s v="4yrs"/>
  </r>
  <r>
    <x v="397"/>
    <x v="397"/>
    <x v="1"/>
    <n v="18"/>
    <x v="1"/>
    <x v="2"/>
    <n v="62229"/>
    <x v="1"/>
    <x v="369"/>
    <x v="3"/>
    <s v="Medium"/>
    <s v="2yrs"/>
  </r>
  <r>
    <x v="398"/>
    <x v="398"/>
    <x v="1"/>
    <n v="70"/>
    <x v="2"/>
    <x v="6"/>
    <n v="106652"/>
    <x v="0"/>
    <x v="370"/>
    <x v="2"/>
    <s v="High"/>
    <s v="0yrs"/>
  </r>
  <r>
    <x v="399"/>
    <x v="399"/>
    <x v="0"/>
    <n v="71"/>
    <x v="3"/>
    <x v="5"/>
    <n v="148267"/>
    <x v="0"/>
    <x v="371"/>
    <x v="2"/>
    <s v="High"/>
    <s v="8yrs"/>
  </r>
  <r>
    <x v="400"/>
    <x v="400"/>
    <x v="1"/>
    <n v="71"/>
    <x v="2"/>
    <x v="6"/>
    <n v="199436"/>
    <x v="2"/>
    <x v="372"/>
    <x v="2"/>
    <s v="Premium"/>
    <s v="5yrs"/>
  </r>
  <r>
    <x v="401"/>
    <x v="401"/>
    <x v="1"/>
    <n v="20"/>
    <x v="1"/>
    <x v="2"/>
    <n v="146503"/>
    <x v="0"/>
    <x v="373"/>
    <x v="1"/>
    <s v="High"/>
    <s v="4yrs"/>
  </r>
  <r>
    <x v="402"/>
    <x v="402"/>
    <x v="0"/>
    <n v="33"/>
    <x v="0"/>
    <x v="3"/>
    <n v="104878"/>
    <x v="0"/>
    <x v="374"/>
    <x v="0"/>
    <s v="High"/>
    <s v="6yrs"/>
  </r>
  <r>
    <x v="403"/>
    <x v="403"/>
    <x v="0"/>
    <n v="40"/>
    <x v="3"/>
    <x v="4"/>
    <n v="77056"/>
    <x v="0"/>
    <x v="375"/>
    <x v="0"/>
    <s v="Medium"/>
    <s v="4yrs"/>
  </r>
  <r>
    <x v="404"/>
    <x v="404"/>
    <x v="1"/>
    <n v="74"/>
    <x v="0"/>
    <x v="2"/>
    <n v="178562"/>
    <x v="0"/>
    <x v="376"/>
    <x v="2"/>
    <s v="Premium"/>
    <s v="1yrs"/>
  </r>
  <r>
    <x v="405"/>
    <x v="405"/>
    <x v="1"/>
    <n v="28"/>
    <x v="1"/>
    <x v="6"/>
    <n v="39975"/>
    <x v="1"/>
    <x v="377"/>
    <x v="0"/>
    <s v="Low"/>
    <s v="2yrs"/>
  </r>
  <r>
    <x v="406"/>
    <x v="406"/>
    <x v="1"/>
    <n v="29"/>
    <x v="1"/>
    <x v="4"/>
    <n v="177795"/>
    <x v="2"/>
    <x v="378"/>
    <x v="0"/>
    <s v="Premium"/>
    <s v="7yrs"/>
  </r>
  <r>
    <x v="407"/>
    <x v="407"/>
    <x v="1"/>
    <n v="27"/>
    <x v="1"/>
    <x v="6"/>
    <n v="174351"/>
    <x v="0"/>
    <x v="379"/>
    <x v="0"/>
    <s v="Premium"/>
    <s v="9yrs"/>
  </r>
  <r>
    <x v="408"/>
    <x v="408"/>
    <x v="1"/>
    <n v="49"/>
    <x v="0"/>
    <x v="3"/>
    <n v="162633"/>
    <x v="0"/>
    <x v="380"/>
    <x v="0"/>
    <s v="Premium"/>
    <s v="6yrs"/>
  </r>
  <r>
    <x v="409"/>
    <x v="409"/>
    <x v="1"/>
    <n v="33"/>
    <x v="0"/>
    <x v="6"/>
    <n v="108397"/>
    <x v="0"/>
    <x v="381"/>
    <x v="0"/>
    <s v="High"/>
    <s v="9yrs"/>
  </r>
  <r>
    <x v="410"/>
    <x v="410"/>
    <x v="0"/>
    <n v="25"/>
    <x v="0"/>
    <x v="5"/>
    <n v="53142"/>
    <x v="1"/>
    <x v="382"/>
    <x v="0"/>
    <s v="Medium"/>
    <s v="6yrs"/>
  </r>
  <r>
    <x v="411"/>
    <x v="411"/>
    <x v="1"/>
    <n v="55"/>
    <x v="0"/>
    <x v="0"/>
    <n v="46916"/>
    <x v="1"/>
    <x v="383"/>
    <x v="0"/>
    <s v="Low"/>
    <s v="0yrs"/>
  </r>
  <r>
    <x v="412"/>
    <x v="412"/>
    <x v="1"/>
    <n v="29"/>
    <x v="1"/>
    <x v="2"/>
    <n v="84324"/>
    <x v="0"/>
    <x v="384"/>
    <x v="0"/>
    <s v="Medium"/>
    <s v="2yrs"/>
  </r>
  <r>
    <x v="413"/>
    <x v="413"/>
    <x v="0"/>
    <n v="41"/>
    <x v="1"/>
    <x v="0"/>
    <n v="196037"/>
    <x v="1"/>
    <x v="70"/>
    <x v="0"/>
    <s v="Premium"/>
    <s v="9yrs"/>
  </r>
  <r>
    <x v="414"/>
    <x v="414"/>
    <x v="0"/>
    <n v="45"/>
    <x v="3"/>
    <x v="6"/>
    <n v="145932"/>
    <x v="1"/>
    <x v="385"/>
    <x v="0"/>
    <s v="High"/>
    <s v="0yrs"/>
  </r>
  <r>
    <x v="415"/>
    <x v="415"/>
    <x v="0"/>
    <n v="70"/>
    <x v="3"/>
    <x v="3"/>
    <n v="155720"/>
    <x v="1"/>
    <x v="386"/>
    <x v="2"/>
    <s v="Premium"/>
    <s v="7yrs"/>
  </r>
  <r>
    <x v="416"/>
    <x v="416"/>
    <x v="0"/>
    <n v="25"/>
    <x v="0"/>
    <x v="2"/>
    <n v="186205"/>
    <x v="2"/>
    <x v="387"/>
    <x v="0"/>
    <s v="Premium"/>
    <s v="0yrs"/>
  </r>
  <r>
    <x v="417"/>
    <x v="417"/>
    <x v="1"/>
    <n v="45"/>
    <x v="2"/>
    <x v="6"/>
    <n v="116059"/>
    <x v="0"/>
    <x v="388"/>
    <x v="0"/>
    <s v="High"/>
    <s v="6yrs"/>
  </r>
  <r>
    <x v="418"/>
    <x v="418"/>
    <x v="1"/>
    <n v="53"/>
    <x v="2"/>
    <x v="4"/>
    <n v="118317"/>
    <x v="1"/>
    <x v="389"/>
    <x v="0"/>
    <s v="High"/>
    <s v="8yrs"/>
  </r>
  <r>
    <x v="419"/>
    <x v="419"/>
    <x v="1"/>
    <n v="43"/>
    <x v="1"/>
    <x v="1"/>
    <n v="55046"/>
    <x v="0"/>
    <x v="390"/>
    <x v="0"/>
    <s v="Medium"/>
    <s v="4yrs"/>
  </r>
  <r>
    <x v="420"/>
    <x v="420"/>
    <x v="1"/>
    <n v="25"/>
    <x v="1"/>
    <x v="6"/>
    <n v="198136"/>
    <x v="1"/>
    <x v="31"/>
    <x v="0"/>
    <s v="Premium"/>
    <s v="9yrs"/>
  </r>
  <r>
    <x v="421"/>
    <x v="421"/>
    <x v="1"/>
    <n v="67"/>
    <x v="1"/>
    <x v="0"/>
    <n v="121459"/>
    <x v="1"/>
    <x v="391"/>
    <x v="2"/>
    <s v="High"/>
    <s v="3yrs"/>
  </r>
  <r>
    <x v="422"/>
    <x v="422"/>
    <x v="1"/>
    <n v="45"/>
    <x v="3"/>
    <x v="2"/>
    <n v="65893"/>
    <x v="1"/>
    <x v="32"/>
    <x v="0"/>
    <s v="Medium"/>
    <s v="3yrs"/>
  </r>
  <r>
    <x v="423"/>
    <x v="422"/>
    <x v="0"/>
    <n v="45"/>
    <x v="3"/>
    <x v="0"/>
    <n v="121520"/>
    <x v="1"/>
    <x v="392"/>
    <x v="0"/>
    <s v="High"/>
    <s v="4yrs"/>
  </r>
  <r>
    <x v="424"/>
    <x v="423"/>
    <x v="1"/>
    <n v="54"/>
    <x v="1"/>
    <x v="2"/>
    <n v="145818"/>
    <x v="0"/>
    <x v="73"/>
    <x v="0"/>
    <s v="High"/>
    <s v="8yrs"/>
  </r>
  <r>
    <x v="425"/>
    <x v="424"/>
    <x v="0"/>
    <n v="58"/>
    <x v="1"/>
    <x v="6"/>
    <n v="81272"/>
    <x v="0"/>
    <x v="393"/>
    <x v="2"/>
    <s v="Medium"/>
    <s v="8yrs"/>
  </r>
  <r>
    <x v="426"/>
    <x v="425"/>
    <x v="0"/>
    <n v="53"/>
    <x v="1"/>
    <x v="5"/>
    <n v="87649"/>
    <x v="2"/>
    <x v="394"/>
    <x v="0"/>
    <s v="Medium"/>
    <s v="2yrs"/>
  </r>
  <r>
    <x v="427"/>
    <x v="426"/>
    <x v="1"/>
    <n v="44"/>
    <x v="2"/>
    <x v="4"/>
    <n v="84674"/>
    <x v="2"/>
    <x v="395"/>
    <x v="0"/>
    <s v="Medium"/>
    <s v="6yrs"/>
  </r>
  <r>
    <x v="428"/>
    <x v="427"/>
    <x v="0"/>
    <n v="71"/>
    <x v="3"/>
    <x v="6"/>
    <n v="164832"/>
    <x v="0"/>
    <x v="192"/>
    <x v="2"/>
    <s v="Premium"/>
    <s v="8yrs"/>
  </r>
  <r>
    <x v="429"/>
    <x v="428"/>
    <x v="1"/>
    <n v="34"/>
    <x v="2"/>
    <x v="0"/>
    <n v="172999"/>
    <x v="0"/>
    <x v="396"/>
    <x v="0"/>
    <s v="Premium"/>
    <s v="8yrs"/>
  </r>
  <r>
    <x v="430"/>
    <x v="429"/>
    <x v="0"/>
    <n v="26"/>
    <x v="2"/>
    <x v="1"/>
    <n v="106475"/>
    <x v="0"/>
    <x v="397"/>
    <x v="0"/>
    <s v="High"/>
    <s v="2yrs"/>
  </r>
  <r>
    <x v="431"/>
    <x v="430"/>
    <x v="1"/>
    <n v="50"/>
    <x v="1"/>
    <x v="1"/>
    <n v="81367"/>
    <x v="1"/>
    <x v="398"/>
    <x v="0"/>
    <s v="Medium"/>
    <s v="8yrs"/>
  </r>
  <r>
    <x v="432"/>
    <x v="431"/>
    <x v="0"/>
    <n v="70"/>
    <x v="1"/>
    <x v="3"/>
    <n v="163660"/>
    <x v="1"/>
    <x v="399"/>
    <x v="2"/>
    <s v="Premium"/>
    <s v="5yrs"/>
  </r>
  <r>
    <x v="433"/>
    <x v="432"/>
    <x v="1"/>
    <n v="37"/>
    <x v="0"/>
    <x v="2"/>
    <n v="141750"/>
    <x v="0"/>
    <x v="400"/>
    <x v="0"/>
    <s v="High"/>
    <s v="6yrs"/>
  </r>
  <r>
    <x v="434"/>
    <x v="433"/>
    <x v="1"/>
    <n v="30"/>
    <x v="0"/>
    <x v="0"/>
    <n v="138154"/>
    <x v="0"/>
    <x v="355"/>
    <x v="0"/>
    <s v="High"/>
    <s v="2yrs"/>
  </r>
  <r>
    <x v="435"/>
    <x v="434"/>
    <x v="1"/>
    <n v="45"/>
    <x v="2"/>
    <x v="3"/>
    <n v="64738"/>
    <x v="1"/>
    <x v="401"/>
    <x v="0"/>
    <s v="Medium"/>
    <s v="5yrs"/>
  </r>
  <r>
    <x v="436"/>
    <x v="435"/>
    <x v="1"/>
    <n v="65"/>
    <x v="3"/>
    <x v="0"/>
    <n v="53397"/>
    <x v="1"/>
    <x v="402"/>
    <x v="2"/>
    <s v="Medium"/>
    <s v="1yrs"/>
  </r>
  <r>
    <x v="437"/>
    <x v="436"/>
    <x v="1"/>
    <n v="46"/>
    <x v="1"/>
    <x v="2"/>
    <n v="102189"/>
    <x v="0"/>
    <x v="403"/>
    <x v="0"/>
    <s v="High"/>
    <s v="2yrs"/>
  </r>
  <r>
    <x v="438"/>
    <x v="437"/>
    <x v="0"/>
    <n v="30"/>
    <x v="1"/>
    <x v="6"/>
    <n v="96367"/>
    <x v="0"/>
    <x v="404"/>
    <x v="0"/>
    <s v="Medium"/>
    <s v="1yrs"/>
  </r>
  <r>
    <x v="439"/>
    <x v="438"/>
    <x v="0"/>
    <n v="63"/>
    <x v="2"/>
    <x v="6"/>
    <n v="140585"/>
    <x v="0"/>
    <x v="405"/>
    <x v="2"/>
    <s v="High"/>
    <s v="7yrs"/>
  </r>
  <r>
    <x v="440"/>
    <x v="439"/>
    <x v="0"/>
    <n v="52"/>
    <x v="0"/>
    <x v="1"/>
    <n v="96619"/>
    <x v="0"/>
    <x v="406"/>
    <x v="0"/>
    <s v="Medium"/>
    <s v="2yrs"/>
  </r>
  <r>
    <x v="441"/>
    <x v="440"/>
    <x v="1"/>
    <n v="23"/>
    <x v="3"/>
    <x v="6"/>
    <n v="131453"/>
    <x v="0"/>
    <x v="407"/>
    <x v="0"/>
    <s v="High"/>
    <s v="3yrs"/>
  </r>
  <r>
    <x v="442"/>
    <x v="441"/>
    <x v="0"/>
    <n v="35"/>
    <x v="0"/>
    <x v="6"/>
    <n v="39816"/>
    <x v="1"/>
    <x v="408"/>
    <x v="0"/>
    <s v="Low"/>
    <s v="7yrs"/>
  </r>
  <r>
    <x v="443"/>
    <x v="442"/>
    <x v="1"/>
    <n v="68"/>
    <x v="0"/>
    <x v="5"/>
    <n v="193312"/>
    <x v="1"/>
    <x v="409"/>
    <x v="2"/>
    <s v="Premium"/>
    <s v="7yrs"/>
  </r>
  <r>
    <x v="444"/>
    <x v="443"/>
    <x v="1"/>
    <n v="22"/>
    <x v="0"/>
    <x v="1"/>
    <n v="157348"/>
    <x v="1"/>
    <x v="410"/>
    <x v="0"/>
    <s v="Premium"/>
    <s v="3yrs"/>
  </r>
  <r>
    <x v="445"/>
    <x v="444"/>
    <x v="0"/>
    <n v="64"/>
    <x v="0"/>
    <x v="3"/>
    <n v="99530"/>
    <x v="1"/>
    <x v="411"/>
    <x v="2"/>
    <s v="Medium"/>
    <s v="4yrs"/>
  </r>
  <r>
    <x v="446"/>
    <x v="445"/>
    <x v="0"/>
    <n v="42"/>
    <x v="1"/>
    <x v="4"/>
    <n v="174571"/>
    <x v="0"/>
    <x v="412"/>
    <x v="0"/>
    <s v="Premium"/>
    <s v="2yrs"/>
  </r>
  <r>
    <x v="447"/>
    <x v="446"/>
    <x v="1"/>
    <n v="19"/>
    <x v="1"/>
    <x v="5"/>
    <n v="128856"/>
    <x v="0"/>
    <x v="413"/>
    <x v="1"/>
    <s v="High"/>
    <s v="3yrs"/>
  </r>
  <r>
    <x v="448"/>
    <x v="447"/>
    <x v="0"/>
    <n v="27"/>
    <x v="0"/>
    <x v="3"/>
    <n v="91635"/>
    <x v="0"/>
    <x v="414"/>
    <x v="0"/>
    <s v="Medium"/>
    <s v="5yrs"/>
  </r>
  <r>
    <x v="449"/>
    <x v="448"/>
    <x v="1"/>
    <n v="73"/>
    <x v="3"/>
    <x v="2"/>
    <n v="127803"/>
    <x v="0"/>
    <x v="415"/>
    <x v="2"/>
    <s v="High"/>
    <s v="1yrs"/>
  </r>
  <r>
    <x v="450"/>
    <x v="449"/>
    <x v="1"/>
    <n v="47"/>
    <x v="2"/>
    <x v="5"/>
    <n v="55946"/>
    <x v="1"/>
    <x v="416"/>
    <x v="0"/>
    <s v="Medium"/>
    <s v="9yrs"/>
  </r>
  <r>
    <x v="451"/>
    <x v="450"/>
    <x v="1"/>
    <n v="67"/>
    <x v="3"/>
    <x v="3"/>
    <n v="75204"/>
    <x v="2"/>
    <x v="417"/>
    <x v="2"/>
    <s v="Medium"/>
    <s v="1yrs"/>
  </r>
  <r>
    <x v="452"/>
    <x v="451"/>
    <x v="1"/>
    <n v="62"/>
    <x v="3"/>
    <x v="2"/>
    <n v="35563"/>
    <x v="0"/>
    <x v="418"/>
    <x v="2"/>
    <s v="Low"/>
    <s v="6yrs"/>
  </r>
  <r>
    <x v="453"/>
    <x v="452"/>
    <x v="1"/>
    <n v="22"/>
    <x v="3"/>
    <x v="1"/>
    <n v="112324"/>
    <x v="0"/>
    <x v="409"/>
    <x v="0"/>
    <s v="High"/>
    <s v="7yrs"/>
  </r>
  <r>
    <x v="454"/>
    <x v="453"/>
    <x v="0"/>
    <n v="72"/>
    <x v="0"/>
    <x v="4"/>
    <n v="29847"/>
    <x v="1"/>
    <x v="419"/>
    <x v="2"/>
    <s v="Low"/>
    <s v="3yrs"/>
  </r>
  <r>
    <x v="455"/>
    <x v="454"/>
    <x v="0"/>
    <n v="73"/>
    <x v="1"/>
    <x v="2"/>
    <n v="46155"/>
    <x v="0"/>
    <x v="420"/>
    <x v="2"/>
    <s v="Low"/>
    <s v="9yrs"/>
  </r>
  <r>
    <x v="456"/>
    <x v="455"/>
    <x v="1"/>
    <n v="50"/>
    <x v="3"/>
    <x v="6"/>
    <n v="99671"/>
    <x v="0"/>
    <x v="421"/>
    <x v="0"/>
    <s v="Medium"/>
    <s v="9yrs"/>
  </r>
  <r>
    <x v="457"/>
    <x v="456"/>
    <x v="1"/>
    <n v="71"/>
    <x v="0"/>
    <x v="0"/>
    <n v="136891"/>
    <x v="1"/>
    <x v="422"/>
    <x v="2"/>
    <s v="High"/>
    <s v="1yrs"/>
  </r>
  <r>
    <x v="458"/>
    <x v="457"/>
    <x v="0"/>
    <n v="18"/>
    <x v="3"/>
    <x v="2"/>
    <n v="103310"/>
    <x v="1"/>
    <x v="423"/>
    <x v="3"/>
    <s v="High"/>
    <s v="5yrs"/>
  </r>
  <r>
    <x v="459"/>
    <x v="458"/>
    <x v="0"/>
    <n v="35"/>
    <x v="3"/>
    <x v="2"/>
    <n v="169381"/>
    <x v="0"/>
    <x v="424"/>
    <x v="0"/>
    <s v="Premium"/>
    <s v="4yrs"/>
  </r>
  <r>
    <x v="460"/>
    <x v="459"/>
    <x v="1"/>
    <n v="49"/>
    <x v="0"/>
    <x v="4"/>
    <n v="151691"/>
    <x v="0"/>
    <x v="425"/>
    <x v="0"/>
    <s v="Premium"/>
    <s v="6yrs"/>
  </r>
  <r>
    <x v="461"/>
    <x v="460"/>
    <x v="0"/>
    <n v="64"/>
    <x v="1"/>
    <x v="0"/>
    <n v="54707"/>
    <x v="1"/>
    <x v="426"/>
    <x v="2"/>
    <s v="Medium"/>
    <s v="6yrs"/>
  </r>
  <r>
    <x v="462"/>
    <x v="461"/>
    <x v="1"/>
    <n v="66"/>
    <x v="1"/>
    <x v="6"/>
    <n v="171409"/>
    <x v="0"/>
    <x v="427"/>
    <x v="2"/>
    <s v="Premium"/>
    <s v="1yrs"/>
  </r>
  <r>
    <x v="463"/>
    <x v="462"/>
    <x v="0"/>
    <n v="28"/>
    <x v="2"/>
    <x v="3"/>
    <n v="101537"/>
    <x v="0"/>
    <x v="428"/>
    <x v="0"/>
    <s v="High"/>
    <s v="7yrs"/>
  </r>
  <r>
    <x v="464"/>
    <x v="463"/>
    <x v="1"/>
    <n v="38"/>
    <x v="0"/>
    <x v="3"/>
    <n v="198686"/>
    <x v="1"/>
    <x v="429"/>
    <x v="0"/>
    <s v="Premium"/>
    <s v="0yrs"/>
  </r>
  <r>
    <x v="465"/>
    <x v="464"/>
    <x v="0"/>
    <n v="43"/>
    <x v="2"/>
    <x v="2"/>
    <n v="111155"/>
    <x v="0"/>
    <x v="22"/>
    <x v="0"/>
    <s v="High"/>
    <s v="3yrs"/>
  </r>
  <r>
    <x v="466"/>
    <x v="465"/>
    <x v="1"/>
    <n v="42"/>
    <x v="2"/>
    <x v="0"/>
    <n v="20281"/>
    <x v="1"/>
    <x v="430"/>
    <x v="0"/>
    <s v="Low"/>
    <s v="3yrs"/>
  </r>
  <r>
    <x v="467"/>
    <x v="466"/>
    <x v="0"/>
    <n v="39"/>
    <x v="2"/>
    <x v="0"/>
    <n v="178492"/>
    <x v="0"/>
    <x v="431"/>
    <x v="0"/>
    <s v="Premium"/>
    <s v="1yrs"/>
  </r>
  <r>
    <x v="468"/>
    <x v="467"/>
    <x v="0"/>
    <n v="44"/>
    <x v="1"/>
    <x v="6"/>
    <n v="190102"/>
    <x v="2"/>
    <x v="432"/>
    <x v="0"/>
    <s v="Premium"/>
    <s v="8yrs"/>
  </r>
  <r>
    <x v="469"/>
    <x v="468"/>
    <x v="1"/>
    <n v="66"/>
    <x v="0"/>
    <x v="4"/>
    <n v="152130"/>
    <x v="0"/>
    <x v="433"/>
    <x v="2"/>
    <s v="Premium"/>
    <s v="4yrs"/>
  </r>
  <r>
    <x v="470"/>
    <x v="469"/>
    <x v="0"/>
    <n v="30"/>
    <x v="2"/>
    <x v="1"/>
    <n v="96260"/>
    <x v="0"/>
    <x v="434"/>
    <x v="0"/>
    <s v="Medium"/>
    <s v="0yrs"/>
  </r>
  <r>
    <x v="471"/>
    <x v="470"/>
    <x v="1"/>
    <n v="50"/>
    <x v="0"/>
    <x v="3"/>
    <n v="179476"/>
    <x v="0"/>
    <x v="435"/>
    <x v="0"/>
    <s v="Premium"/>
    <s v="7yrs"/>
  </r>
  <r>
    <x v="472"/>
    <x v="471"/>
    <x v="0"/>
    <n v="51"/>
    <x v="0"/>
    <x v="4"/>
    <n v="180928"/>
    <x v="0"/>
    <x v="436"/>
    <x v="0"/>
    <s v="Premium"/>
    <s v="5yrs"/>
  </r>
  <r>
    <x v="473"/>
    <x v="472"/>
    <x v="1"/>
    <n v="58"/>
    <x v="1"/>
    <x v="5"/>
    <n v="160272"/>
    <x v="1"/>
    <x v="209"/>
    <x v="2"/>
    <s v="Premium"/>
    <s v="6yrs"/>
  </r>
  <r>
    <x v="474"/>
    <x v="473"/>
    <x v="0"/>
    <n v="52"/>
    <x v="2"/>
    <x v="3"/>
    <n v="84178"/>
    <x v="2"/>
    <x v="437"/>
    <x v="0"/>
    <s v="Medium"/>
    <s v="4yrs"/>
  </r>
  <r>
    <x v="475"/>
    <x v="474"/>
    <x v="1"/>
    <n v="18"/>
    <x v="2"/>
    <x v="4"/>
    <n v="53997"/>
    <x v="0"/>
    <x v="438"/>
    <x v="3"/>
    <s v="Medium"/>
    <s v="6yrs"/>
  </r>
  <r>
    <x v="476"/>
    <x v="475"/>
    <x v="0"/>
    <n v="38"/>
    <x v="0"/>
    <x v="3"/>
    <n v="176683"/>
    <x v="0"/>
    <x v="439"/>
    <x v="0"/>
    <s v="Premium"/>
    <s v="9yrs"/>
  </r>
  <r>
    <x v="477"/>
    <x v="476"/>
    <x v="1"/>
    <n v="65"/>
    <x v="3"/>
    <x v="1"/>
    <n v="139273"/>
    <x v="1"/>
    <x v="440"/>
    <x v="2"/>
    <s v="High"/>
    <s v="9yrs"/>
  </r>
  <r>
    <x v="478"/>
    <x v="477"/>
    <x v="0"/>
    <n v="72"/>
    <x v="1"/>
    <x v="5"/>
    <n v="192307"/>
    <x v="1"/>
    <x v="226"/>
    <x v="2"/>
    <s v="Premium"/>
    <s v="4yrs"/>
  </r>
  <r>
    <x v="479"/>
    <x v="478"/>
    <x v="1"/>
    <n v="23"/>
    <x v="1"/>
    <x v="1"/>
    <n v="186129"/>
    <x v="0"/>
    <x v="441"/>
    <x v="0"/>
    <s v="Premium"/>
    <s v="1yrs"/>
  </r>
  <r>
    <x v="480"/>
    <x v="479"/>
    <x v="1"/>
    <n v="45"/>
    <x v="1"/>
    <x v="6"/>
    <n v="152311"/>
    <x v="0"/>
    <x v="442"/>
    <x v="0"/>
    <s v="Premium"/>
    <s v="9yrs"/>
  </r>
  <r>
    <x v="481"/>
    <x v="480"/>
    <x v="1"/>
    <n v="34"/>
    <x v="1"/>
    <x v="5"/>
    <n v="146945"/>
    <x v="0"/>
    <x v="443"/>
    <x v="0"/>
    <s v="High"/>
    <s v="6yrs"/>
  </r>
  <r>
    <x v="482"/>
    <x v="481"/>
    <x v="0"/>
    <n v="22"/>
    <x v="2"/>
    <x v="2"/>
    <n v="65272"/>
    <x v="1"/>
    <x v="444"/>
    <x v="0"/>
    <s v="Medium"/>
    <s v="1yrs"/>
  </r>
  <r>
    <x v="483"/>
    <x v="482"/>
    <x v="1"/>
    <n v="48"/>
    <x v="2"/>
    <x v="4"/>
    <n v="109393"/>
    <x v="0"/>
    <x v="445"/>
    <x v="0"/>
    <s v="High"/>
    <s v="2yrs"/>
  </r>
  <r>
    <x v="484"/>
    <x v="483"/>
    <x v="0"/>
    <n v="22"/>
    <x v="3"/>
    <x v="5"/>
    <n v="81212"/>
    <x v="1"/>
    <x v="446"/>
    <x v="0"/>
    <s v="Medium"/>
    <s v="7yrs"/>
  </r>
  <r>
    <x v="485"/>
    <x v="484"/>
    <x v="1"/>
    <n v="55"/>
    <x v="1"/>
    <x v="6"/>
    <n v="166470"/>
    <x v="0"/>
    <x v="447"/>
    <x v="0"/>
    <s v="Premium"/>
    <s v="0yrs"/>
  </r>
  <r>
    <x v="486"/>
    <x v="485"/>
    <x v="0"/>
    <n v="20"/>
    <x v="1"/>
    <x v="6"/>
    <n v="140030"/>
    <x v="1"/>
    <x v="448"/>
    <x v="1"/>
    <s v="High"/>
    <s v="2yrs"/>
  </r>
  <r>
    <x v="487"/>
    <x v="486"/>
    <x v="1"/>
    <n v="70"/>
    <x v="0"/>
    <x v="1"/>
    <n v="76503"/>
    <x v="0"/>
    <x v="449"/>
    <x v="2"/>
    <s v="Medium"/>
    <s v="0yrs"/>
  </r>
  <r>
    <x v="488"/>
    <x v="487"/>
    <x v="0"/>
    <n v="40"/>
    <x v="2"/>
    <x v="3"/>
    <n v="157710"/>
    <x v="0"/>
    <x v="450"/>
    <x v="0"/>
    <s v="Premium"/>
    <s v="2yrs"/>
  </r>
  <r>
    <x v="489"/>
    <x v="488"/>
    <x v="0"/>
    <n v="54"/>
    <x v="1"/>
    <x v="5"/>
    <n v="26570"/>
    <x v="0"/>
    <x v="451"/>
    <x v="0"/>
    <s v="Low"/>
    <s v="3yrs"/>
  </r>
  <r>
    <x v="490"/>
    <x v="489"/>
    <x v="1"/>
    <n v="70"/>
    <x v="3"/>
    <x v="4"/>
    <n v="88785"/>
    <x v="1"/>
    <x v="452"/>
    <x v="2"/>
    <s v="Medium"/>
    <s v="3yrs"/>
  </r>
  <r>
    <x v="491"/>
    <x v="490"/>
    <x v="0"/>
    <n v="54"/>
    <x v="3"/>
    <x v="5"/>
    <n v="29110"/>
    <x v="0"/>
    <x v="453"/>
    <x v="0"/>
    <s v="Low"/>
    <s v="2yrs"/>
  </r>
  <r>
    <x v="492"/>
    <x v="491"/>
    <x v="0"/>
    <n v="27"/>
    <x v="2"/>
    <x v="0"/>
    <n v="99141"/>
    <x v="0"/>
    <x v="454"/>
    <x v="0"/>
    <s v="Medium"/>
    <s v="1yrs"/>
  </r>
  <r>
    <x v="493"/>
    <x v="492"/>
    <x v="1"/>
    <n v="27"/>
    <x v="3"/>
    <x v="3"/>
    <n v="32115"/>
    <x v="0"/>
    <x v="455"/>
    <x v="0"/>
    <s v="Low"/>
    <s v="4yrs"/>
  </r>
  <r>
    <x v="494"/>
    <x v="493"/>
    <x v="0"/>
    <n v="36"/>
    <x v="3"/>
    <x v="4"/>
    <n v="59062"/>
    <x v="0"/>
    <x v="456"/>
    <x v="0"/>
    <s v="Medium"/>
    <s v="3yrs"/>
  </r>
  <r>
    <x v="495"/>
    <x v="494"/>
    <x v="0"/>
    <n v="34"/>
    <x v="2"/>
    <x v="4"/>
    <n v="42911"/>
    <x v="1"/>
    <x v="457"/>
    <x v="0"/>
    <s v="Low"/>
    <s v="8yrs"/>
  </r>
  <r>
    <x v="496"/>
    <x v="495"/>
    <x v="0"/>
    <n v="38"/>
    <x v="1"/>
    <x v="2"/>
    <n v="124061"/>
    <x v="1"/>
    <x v="458"/>
    <x v="0"/>
    <s v="High"/>
    <s v="1yrs"/>
  </r>
  <r>
    <x v="497"/>
    <x v="496"/>
    <x v="1"/>
    <n v="31"/>
    <x v="1"/>
    <x v="1"/>
    <n v="52556"/>
    <x v="1"/>
    <x v="459"/>
    <x v="0"/>
    <s v="Medium"/>
    <s v="9yrs"/>
  </r>
  <r>
    <x v="498"/>
    <x v="497"/>
    <x v="0"/>
    <n v="26"/>
    <x v="3"/>
    <x v="2"/>
    <n v="148335"/>
    <x v="0"/>
    <x v="460"/>
    <x v="0"/>
    <s v="High"/>
    <s v="1yrs"/>
  </r>
  <r>
    <x v="499"/>
    <x v="498"/>
    <x v="1"/>
    <n v="63"/>
    <x v="3"/>
    <x v="4"/>
    <n v="21969"/>
    <x v="1"/>
    <x v="461"/>
    <x v="2"/>
    <s v="Low"/>
    <s v="1y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numFmtId="1" showAll="0"/>
    <pivotField axis="axisRow" showAll="0">
      <items count="5">
        <item x="1"/>
        <item x="0"/>
        <item x="3"/>
        <item x="2"/>
        <item t="default"/>
      </items>
    </pivotField>
    <pivotField showAll="0"/>
    <pivotField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5">
    <i>
      <x/>
    </i>
    <i>
      <x v="1"/>
    </i>
    <i>
      <x v="2"/>
    </i>
    <i>
      <x v="3"/>
    </i>
    <i t="grand">
      <x/>
    </i>
  </rowItems>
  <colItems count="1">
    <i/>
  </colItems>
  <dataFields count="1">
    <dataField name="Count of CustomerID" fld="0" subtotal="count"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O12:P24"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measureFilter="1">
      <items count="500">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221"/>
        <item x="0"/>
        <item x="52"/>
        <item x="352"/>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 t="default"/>
      </items>
    </pivotField>
    <pivotField showAll="0">
      <items count="3">
        <item x="1"/>
        <item x="0"/>
        <item t="default"/>
      </items>
    </pivotField>
    <pivotField numFmtId="1" showAll="0"/>
    <pivotField showAll="0">
      <items count="5">
        <item x="1"/>
        <item x="0"/>
        <item x="3"/>
        <item x="2"/>
        <item t="default"/>
      </items>
    </pivotField>
    <pivotField showAll="0"/>
    <pivotField dataField="1"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pivotField showAll="0"/>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3"/>
  </rowFields>
  <rowItems count="12">
    <i>
      <x v="1"/>
    </i>
    <i>
      <x v="2"/>
    </i>
    <i>
      <x v="3"/>
    </i>
    <i>
      <x v="4"/>
    </i>
    <i>
      <x v="5"/>
    </i>
    <i>
      <x v="6"/>
    </i>
    <i>
      <x v="7"/>
    </i>
    <i>
      <x v="8"/>
    </i>
    <i>
      <x v="9"/>
    </i>
    <i>
      <x v="10"/>
    </i>
    <i>
      <x v="11"/>
    </i>
    <i t="grand">
      <x/>
    </i>
  </rowItems>
  <colItems count="1">
    <i/>
  </colItems>
  <dataFields count="1">
    <dataField name="Sum of Income" fld="6" baseField="0" baseItem="0" numFmtId="166"/>
  </dataFields>
  <formats count="2">
    <format dxfId="1">
      <pivotArea dataOnly="0" labelOnly="1" outline="0" axis="axisValues" fieldPosition="0"/>
    </format>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2:M17"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showAll="0">
      <items count="5">
        <item x="1"/>
        <item x="0"/>
        <item x="3"/>
        <item x="2"/>
        <item t="default"/>
      </items>
    </pivotField>
    <pivotField showAll="0"/>
    <pivotField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9"/>
  </rowFields>
  <rowItems count="5">
    <i>
      <x/>
    </i>
    <i>
      <x v="1"/>
    </i>
    <i>
      <x v="2"/>
    </i>
    <i>
      <x v="3"/>
    </i>
    <i t="grand">
      <x/>
    </i>
  </rowItems>
  <colItems count="1">
    <i/>
  </colItems>
  <dataFields count="1">
    <dataField name="Count of CustomerID" fld="0" subtotal="count" baseField="0" baseItem="0" numFmtId="165"/>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2:I30"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showAll="0">
      <items count="5">
        <item x="1"/>
        <item x="0"/>
        <item x="3"/>
        <item x="2"/>
        <item t="default"/>
      </items>
    </pivotField>
    <pivotField axis="axisRow" showAll="0">
      <items count="8">
        <item x="3"/>
        <item x="0"/>
        <item x="5"/>
        <item x="6"/>
        <item x="4"/>
        <item x="2"/>
        <item x="1"/>
        <item t="default"/>
      </items>
    </pivotField>
    <pivotField dataField="1"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8">
    <i>
      <x/>
    </i>
    <i>
      <x v="1"/>
    </i>
    <i>
      <x v="2"/>
    </i>
    <i>
      <x v="3"/>
    </i>
    <i>
      <x v="4"/>
    </i>
    <i>
      <x v="5"/>
    </i>
    <i>
      <x v="6"/>
    </i>
    <i t="grand">
      <x/>
    </i>
  </rowItems>
  <colItems count="1">
    <i/>
  </colItems>
  <dataFields count="1">
    <dataField name="Average of Income" fld="6" subtotal="average" baseField="7" baseItem="0" numFmtId="166"/>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2:I14"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showAll="0">
      <items count="5">
        <item x="1"/>
        <item x="0"/>
        <item x="3"/>
        <item x="2"/>
        <item t="default"/>
      </items>
    </pivotField>
    <pivotField showAll="0"/>
    <pivotField dataField="1" numFmtId="164" showAll="0"/>
    <pivotField axis="axisRow"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2">
    <i>
      <x v="1"/>
    </i>
    <i t="grand">
      <x/>
    </i>
  </rowItems>
  <colItems count="1">
    <i/>
  </colItems>
  <dataFields count="1">
    <dataField name="Sum of Income" fld="6" baseField="0" baseItem="0"/>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O2:P8"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measureFilter="1">
      <items count="500">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221"/>
        <item x="0"/>
        <item x="52"/>
        <item x="352"/>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 t="default"/>
      </items>
    </pivotField>
    <pivotField showAll="0">
      <items count="3">
        <item x="1"/>
        <item x="0"/>
        <item t="default"/>
      </items>
    </pivotField>
    <pivotField numFmtId="1" showAll="0"/>
    <pivotField showAll="0">
      <items count="5">
        <item x="1"/>
        <item x="0"/>
        <item x="3"/>
        <item x="2"/>
        <item t="default"/>
      </items>
    </pivotField>
    <pivotField showAll="0"/>
    <pivotField dataField="1"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6">
    <i>
      <x v="76"/>
    </i>
    <i>
      <x v="192"/>
    </i>
    <i>
      <x v="256"/>
    </i>
    <i>
      <x v="435"/>
    </i>
    <i>
      <x v="472"/>
    </i>
    <i t="grand">
      <x/>
    </i>
  </rowItems>
  <colItems count="1">
    <i/>
  </colItems>
  <dataFields count="1">
    <dataField name="Sum of Income" fld="6" baseField="0" baseItem="0" numFmtId="166"/>
  </dataFields>
  <formats count="2">
    <format dxfId="9">
      <pivotArea dataOnly="0" labelOnly="1" outline="0" axis="axisValues" fieldPosition="0"/>
    </format>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I4"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showAll="0">
      <items count="5">
        <item x="1"/>
        <item x="0"/>
        <item x="3"/>
        <item x="2"/>
        <item t="default"/>
      </items>
    </pivotField>
    <pivotField showAll="0"/>
    <pivotField dataField="1" numFmtId="164" showAll="0"/>
    <pivotField axis="axisRow"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2">
    <i>
      <x v="1"/>
    </i>
    <i t="grand">
      <x/>
    </i>
  </rowItems>
  <colItems count="1">
    <i/>
  </colItems>
  <dataFields count="1">
    <dataField name="Average of Income" fld="6" subtotal="average" baseField="7"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B20"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3">
        <item x="1"/>
        <item x="0"/>
        <item t="default"/>
      </items>
    </pivotField>
    <pivotField numFmtId="1" showAll="0"/>
    <pivotField showAll="0">
      <items count="5">
        <item x="1"/>
        <item x="0"/>
        <item x="3"/>
        <item x="2"/>
        <item t="default"/>
      </items>
    </pivotField>
    <pivotField showAll="0"/>
    <pivotField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22:M27" firstHeaderRow="1" firstDataRow="1" firstDataCol="1"/>
  <pivotFields count="14">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numFmtId="1" showAll="0"/>
    <pivotField showAll="0">
      <items count="5">
        <item x="1"/>
        <item x="0"/>
        <item x="3"/>
        <item x="2"/>
        <item t="default"/>
      </items>
    </pivotField>
    <pivotField showAll="0"/>
    <pivotField dataField="1" numFmtId="164" showAll="0"/>
    <pivotField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9"/>
  </rowFields>
  <rowItems count="5">
    <i>
      <x/>
    </i>
    <i>
      <x v="1"/>
    </i>
    <i>
      <x v="2"/>
    </i>
    <i>
      <x v="3"/>
    </i>
    <i t="grand">
      <x/>
    </i>
  </rowItems>
  <colItems count="1">
    <i/>
  </colItems>
  <dataFields count="1">
    <dataField name="Average of Income" fld="6" subtotal="average" baseField="7" baseItem="0" numFmtId="166"/>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7:D30" firstHeaderRow="1" firstDataRow="2"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numFmtId="1" showAll="0"/>
    <pivotField showAll="0">
      <items count="5">
        <item x="1"/>
        <item x="0"/>
        <item x="3"/>
        <item x="2"/>
        <item t="default"/>
      </items>
    </pivotField>
    <pivotField showAll="0"/>
    <pivotField numFmtId="164" showAll="0"/>
    <pivotField axis="axisRow" showAll="0">
      <items count="4">
        <item h="1" x="1"/>
        <item x="2"/>
        <item h="1"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7"/>
  </rowFields>
  <rowItems count="2">
    <i>
      <x v="1"/>
    </i>
    <i t="grand">
      <x/>
    </i>
  </rowItems>
  <colFields count="1">
    <field x="2"/>
  </colFields>
  <colItems count="3">
    <i>
      <x/>
    </i>
    <i>
      <x v="1"/>
    </i>
    <i t="grand">
      <x/>
    </i>
  </colItems>
  <dataFields count="1">
    <dataField name="Count of Customer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909608139">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0000000-0013-0000-FFFF-FFFF02000000}" sourceName="Customer_Segment">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909608139">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columnCount="4" showCaption="0" style="Slicer Style 1" rowHeight="241300"/>
  <slicer name="Customer_Segment 1" xr10:uid="{00000000-0014-0000-FFFF-FFFF02000000}" cache="Slicer_Customer_Segment" caption="Customer_Segment" columnCount="3"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L501" totalsRowShown="0">
  <autoFilter ref="A1:L501" xr:uid="{00000000-0009-0000-0100-000002000000}"/>
  <tableColumns count="12">
    <tableColumn id="1" xr3:uid="{00000000-0010-0000-0000-000001000000}" name="CustomerID"/>
    <tableColumn id="2" xr3:uid="{00000000-0010-0000-0000-000002000000}" name="Name" dataDxfId="23"/>
    <tableColumn id="3" xr3:uid="{00000000-0010-0000-0000-000003000000}" name="Gender" dataDxfId="22"/>
    <tableColumn id="4" xr3:uid="{00000000-0010-0000-0000-000004000000}" name="Age" dataDxfId="21"/>
    <tableColumn id="5" xr3:uid="{00000000-0010-0000-0000-000005000000}" name="Region" dataDxfId="20"/>
    <tableColumn id="6" xr3:uid="{00000000-0010-0000-0000-000006000000}" name="Occupation" dataDxfId="19"/>
    <tableColumn id="7" xr3:uid="{00000000-0010-0000-0000-000007000000}" name="Income" dataDxfId="18"/>
    <tableColumn id="8" xr3:uid="{00000000-0010-0000-0000-000008000000}" name="Customer_Segment" dataDxfId="17"/>
    <tableColumn id="9" xr3:uid="{00000000-0010-0000-0000-000009000000}" name="Join_Date" dataDxfId="16"/>
    <tableColumn id="12" xr3:uid="{00000000-0010-0000-0000-00000C000000}" name="Tenure" dataDxfId="15">
      <calculatedColumnFormula>DATEDIF(Table2[[#This Row],[Join_Date]], TODAY(), "Y") &amp; "yrs"</calculatedColumnFormula>
    </tableColumn>
    <tableColumn id="11" xr3:uid="{EC53B270-4226-4482-BD86-5F15EF5F8948}" name="Age Group" dataDxfId="14">
      <calculatedColumnFormula>IF(Table2[[#This Row],[Age]]&lt;=19,"Teen",
   IF(Table2[[#This Row],[Age]]&lt;=35,"Young Adult",
      IF(Table2[[#This Row],[Age]]&lt;=55,"Middle-Age",
         "Old")))</calculatedColumnFormula>
    </tableColumn>
    <tableColumn id="13" xr3:uid="{C85DD5BA-4461-4B3F-AA7A-8890A71BC8EA}" name="Income Bracket" dataDxfId="13">
      <calculatedColumnFormula>IF(Table2[[#This Row],[Income]]&lt;=30000,"Low",
   IF(Table2[[#This Row],[Income]]&lt;=60000,"Medium",
      IF(Table2[[#This Row],[Income]]&lt;=100000,"High",
         "Premium")))</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zoomScale="67" workbookViewId="0">
      <selection activeCell="S49" sqref="S49"/>
    </sheetView>
  </sheetViews>
  <sheetFormatPr defaultRowHeight="14.5" x14ac:dyDescent="0.35"/>
  <cols>
    <col min="1" max="1" width="13.08984375" bestFit="1" customWidth="1"/>
    <col min="2" max="2" width="26" style="2" bestFit="1" customWidth="1"/>
    <col min="3" max="3" width="9.26953125" style="2" bestFit="1" customWidth="1"/>
    <col min="4" max="4" width="6.1796875" style="3" bestFit="1" customWidth="1"/>
    <col min="5" max="5" width="8.7265625" style="2" bestFit="1" customWidth="1"/>
    <col min="6" max="6" width="12.6328125" style="2" bestFit="1" customWidth="1"/>
    <col min="7" max="7" width="9.26953125" style="4" bestFit="1" customWidth="1"/>
    <col min="8" max="8" width="19.7265625" style="2" bestFit="1" customWidth="1"/>
    <col min="9" max="9" width="11.36328125" style="1" bestFit="1" customWidth="1"/>
    <col min="10" max="10" width="9" style="2" bestFit="1" customWidth="1"/>
    <col min="11" max="11" width="11.90625" customWidth="1"/>
    <col min="12" max="12" width="16.1796875" bestFit="1" customWidth="1"/>
  </cols>
  <sheetData>
    <row r="1" spans="1:12" x14ac:dyDescent="0.35">
      <c r="A1" t="s">
        <v>0</v>
      </c>
      <c r="B1" s="2" t="s">
        <v>1</v>
      </c>
      <c r="C1" s="2" t="s">
        <v>2</v>
      </c>
      <c r="D1" s="3" t="s">
        <v>3</v>
      </c>
      <c r="E1" s="2" t="s">
        <v>4</v>
      </c>
      <c r="F1" s="2" t="s">
        <v>5</v>
      </c>
      <c r="G1" s="4" t="s">
        <v>6</v>
      </c>
      <c r="H1" s="2" t="s">
        <v>7</v>
      </c>
      <c r="I1" s="1" t="s">
        <v>8</v>
      </c>
      <c r="J1" t="s">
        <v>1026</v>
      </c>
      <c r="K1" t="s">
        <v>1024</v>
      </c>
      <c r="L1" t="s">
        <v>1025</v>
      </c>
    </row>
    <row r="2" spans="1:12" x14ac:dyDescent="0.35">
      <c r="A2" t="s">
        <v>9</v>
      </c>
      <c r="B2" s="2" t="s">
        <v>10</v>
      </c>
      <c r="C2" s="2" t="s">
        <v>11</v>
      </c>
      <c r="D2" s="3">
        <v>38</v>
      </c>
      <c r="E2" s="2" t="s">
        <v>12</v>
      </c>
      <c r="F2" s="2" t="s">
        <v>13</v>
      </c>
      <c r="G2" s="4">
        <v>191672</v>
      </c>
      <c r="H2" s="2" t="s">
        <v>14</v>
      </c>
      <c r="I2" s="1">
        <v>45041</v>
      </c>
      <c r="J2" t="str">
        <f ca="1">DATEDIF(Table2[[#This Row],[Join_Date]], TODAY(), "Y") &amp; "yrs"</f>
        <v>2yrs</v>
      </c>
      <c r="K2" t="str">
        <f>IF(Table2[[#This Row],[Age]]&lt;=19,"Teen",
   IF(Table2[[#This Row],[Age]]&lt;=35,"Young Adult",
      IF(Table2[[#This Row],[Age]]&lt;=55,"Middle-Age",
         "Old")))</f>
        <v>Middle-Age</v>
      </c>
      <c r="L2" t="str">
        <f>IF(Table2[[#This Row],[Income]]&lt;=30000,"Low",
   IF(Table2[[#This Row],[Income]]&lt;=60000,"Medium",
      IF(Table2[[#This Row],[Income]]&lt;=100000,"High",
         "Premium")))</f>
        <v>Premium</v>
      </c>
    </row>
    <row r="3" spans="1:12" x14ac:dyDescent="0.35">
      <c r="A3" t="s">
        <v>15</v>
      </c>
      <c r="B3" s="2" t="s">
        <v>16</v>
      </c>
      <c r="C3" s="2" t="s">
        <v>17</v>
      </c>
      <c r="D3" s="3">
        <v>49</v>
      </c>
      <c r="E3" s="2" t="s">
        <v>18</v>
      </c>
      <c r="F3" s="2" t="s">
        <v>19</v>
      </c>
      <c r="G3" s="4">
        <v>186472</v>
      </c>
      <c r="H3" s="2" t="s">
        <v>20</v>
      </c>
      <c r="I3" s="1">
        <v>44331</v>
      </c>
      <c r="J3" t="str">
        <f ca="1">DATEDIF(Table2[[#This Row],[Join_Date]], TODAY(), "Y") &amp; "yrs"</f>
        <v>4yrs</v>
      </c>
      <c r="K3" t="str">
        <f>IF(Table2[[#This Row],[Age]]&lt;=19,"Teen",
   IF(Table2[[#This Row],[Age]]&lt;=35,"Young Adult",
      IF(Table2[[#This Row],[Age]]&lt;=55,"Middle-Age",
         "Old")))</f>
        <v>Middle-Age</v>
      </c>
      <c r="L3" t="str">
        <f>IF(Table2[[#This Row],[Income]]&lt;=30000,"Low",
   IF(Table2[[#This Row],[Income]]&lt;=60000,"Medium",
      IF(Table2[[#This Row],[Income]]&lt;=100000,"High",
         "Premium")))</f>
        <v>Premium</v>
      </c>
    </row>
    <row r="4" spans="1:12" x14ac:dyDescent="0.35">
      <c r="A4" t="s">
        <v>21</v>
      </c>
      <c r="B4" s="2" t="s">
        <v>22</v>
      </c>
      <c r="C4" s="2" t="s">
        <v>11</v>
      </c>
      <c r="D4" s="3">
        <v>40</v>
      </c>
      <c r="E4" s="2" t="s">
        <v>12</v>
      </c>
      <c r="F4" s="2" t="s">
        <v>23</v>
      </c>
      <c r="G4" s="4">
        <v>155566</v>
      </c>
      <c r="H4" s="2" t="s">
        <v>24</v>
      </c>
      <c r="I4" s="1">
        <v>43438</v>
      </c>
      <c r="J4" t="str">
        <f ca="1">DATEDIF(Table2[[#This Row],[Join_Date]], TODAY(), "Y") &amp; "yrs"</f>
        <v>7yrs</v>
      </c>
      <c r="K4" t="str">
        <f>IF(Table2[[#This Row],[Age]]&lt;=19,"Teen",
   IF(Table2[[#This Row],[Age]]&lt;=35,"Young Adult",
      IF(Table2[[#This Row],[Age]]&lt;=55,"Middle-Age",
         "Old")))</f>
        <v>Middle-Age</v>
      </c>
      <c r="L4" t="str">
        <f>IF(Table2[[#This Row],[Income]]&lt;=30000,"Low",
   IF(Table2[[#This Row],[Income]]&lt;=60000,"Medium",
      IF(Table2[[#This Row],[Income]]&lt;=100000,"High",
         "Premium")))</f>
        <v>Premium</v>
      </c>
    </row>
    <row r="5" spans="1:12" x14ac:dyDescent="0.35">
      <c r="A5" t="s">
        <v>25</v>
      </c>
      <c r="B5" s="2" t="s">
        <v>26</v>
      </c>
      <c r="C5" s="2" t="s">
        <v>11</v>
      </c>
      <c r="D5" s="3">
        <v>50</v>
      </c>
      <c r="E5" s="2" t="s">
        <v>12</v>
      </c>
      <c r="F5" s="2" t="s">
        <v>27</v>
      </c>
      <c r="G5" s="4">
        <v>142744</v>
      </c>
      <c r="H5" s="2" t="s">
        <v>14</v>
      </c>
      <c r="I5" s="1">
        <v>44494</v>
      </c>
      <c r="J5" t="str">
        <f ca="1">DATEDIF(Table2[[#This Row],[Join_Date]], TODAY(), "Y") &amp; "yrs"</f>
        <v>4yrs</v>
      </c>
      <c r="K5" t="str">
        <f>IF(Table2[[#This Row],[Age]]&lt;=19,"Teen",
   IF(Table2[[#This Row],[Age]]&lt;=35,"Young Adult",
      IF(Table2[[#This Row],[Age]]&lt;=55,"Middle-Age",
         "Old")))</f>
        <v>Middle-Age</v>
      </c>
      <c r="L5" t="str">
        <f>IF(Table2[[#This Row],[Income]]&lt;=30000,"Low",
   IF(Table2[[#This Row],[Income]]&lt;=60000,"Medium",
      IF(Table2[[#This Row],[Income]]&lt;=100000,"High",
         "Premium")))</f>
        <v>Premium</v>
      </c>
    </row>
    <row r="6" spans="1:12" x14ac:dyDescent="0.35">
      <c r="A6" t="s">
        <v>28</v>
      </c>
      <c r="B6" s="2" t="s">
        <v>29</v>
      </c>
      <c r="C6" s="2" t="s">
        <v>11</v>
      </c>
      <c r="D6" s="3">
        <v>20</v>
      </c>
      <c r="E6" s="2" t="s">
        <v>30</v>
      </c>
      <c r="F6" s="2" t="s">
        <v>31</v>
      </c>
      <c r="G6" s="4">
        <v>109431</v>
      </c>
      <c r="H6" s="2" t="s">
        <v>20</v>
      </c>
      <c r="I6" s="1">
        <v>43309</v>
      </c>
      <c r="J6" t="str">
        <f ca="1">DATEDIF(Table2[[#This Row],[Join_Date]], TODAY(), "Y") &amp; "yrs"</f>
        <v>7yrs</v>
      </c>
      <c r="K6" t="str">
        <f>IF(Table2[[#This Row],[Age]]&lt;=19,"Teen",
   IF(Table2[[#This Row],[Age]]&lt;=35,"Young Adult",
      IF(Table2[[#This Row],[Age]]&lt;=55,"Middle-Age",
         "Old")))</f>
        <v>Young Adult</v>
      </c>
      <c r="L6" t="str">
        <f>IF(Table2[[#This Row],[Income]]&lt;=30000,"Low",
   IF(Table2[[#This Row],[Income]]&lt;=60000,"Medium",
      IF(Table2[[#This Row],[Income]]&lt;=100000,"High",
         "Premium")))</f>
        <v>Premium</v>
      </c>
    </row>
    <row r="7" spans="1:12" x14ac:dyDescent="0.35">
      <c r="A7" t="s">
        <v>32</v>
      </c>
      <c r="B7" s="2" t="s">
        <v>33</v>
      </c>
      <c r="C7" s="2" t="s">
        <v>17</v>
      </c>
      <c r="D7" s="3">
        <v>35</v>
      </c>
      <c r="E7" s="2" t="s">
        <v>34</v>
      </c>
      <c r="F7" s="2" t="s">
        <v>23</v>
      </c>
      <c r="G7" s="4">
        <v>63001</v>
      </c>
      <c r="H7" s="2" t="s">
        <v>14</v>
      </c>
      <c r="I7" s="1">
        <v>42520</v>
      </c>
      <c r="J7" t="str">
        <f ca="1">DATEDIF(Table2[[#This Row],[Join_Date]], TODAY(), "Y") &amp; "yrs"</f>
        <v>9yrs</v>
      </c>
      <c r="K7" t="str">
        <f>IF(Table2[[#This Row],[Age]]&lt;=19,"Teen",
   IF(Table2[[#This Row],[Age]]&lt;=35,"Young Adult",
      IF(Table2[[#This Row],[Age]]&lt;=55,"Middle-Age",
         "Old")))</f>
        <v>Young Adult</v>
      </c>
      <c r="L7" t="str">
        <f>IF(Table2[[#This Row],[Income]]&lt;=30000,"Low",
   IF(Table2[[#This Row],[Income]]&lt;=60000,"Medium",
      IF(Table2[[#This Row],[Income]]&lt;=100000,"High",
         "Premium")))</f>
        <v>High</v>
      </c>
    </row>
    <row r="8" spans="1:12" x14ac:dyDescent="0.35">
      <c r="A8" t="s">
        <v>35</v>
      </c>
      <c r="B8" s="2" t="s">
        <v>36</v>
      </c>
      <c r="C8" s="2" t="s">
        <v>11</v>
      </c>
      <c r="D8" s="3">
        <v>42</v>
      </c>
      <c r="E8" s="2" t="s">
        <v>12</v>
      </c>
      <c r="F8" s="2" t="s">
        <v>37</v>
      </c>
      <c r="G8" s="4">
        <v>87364</v>
      </c>
      <c r="H8" s="2" t="s">
        <v>20</v>
      </c>
      <c r="I8" s="1">
        <v>43026</v>
      </c>
      <c r="J8" t="str">
        <f ca="1">DATEDIF(Table2[[#This Row],[Join_Date]], TODAY(), "Y") &amp; "yrs"</f>
        <v>8yrs</v>
      </c>
      <c r="K8" t="str">
        <f>IF(Table2[[#This Row],[Age]]&lt;=19,"Teen",
   IF(Table2[[#This Row],[Age]]&lt;=35,"Young Adult",
      IF(Table2[[#This Row],[Age]]&lt;=55,"Middle-Age",
         "Old")))</f>
        <v>Middle-Age</v>
      </c>
      <c r="L8" t="str">
        <f>IF(Table2[[#This Row],[Income]]&lt;=30000,"Low",
   IF(Table2[[#This Row],[Income]]&lt;=60000,"Medium",
      IF(Table2[[#This Row],[Income]]&lt;=100000,"High",
         "Premium")))</f>
        <v>High</v>
      </c>
    </row>
    <row r="9" spans="1:12" x14ac:dyDescent="0.35">
      <c r="A9" t="s">
        <v>38</v>
      </c>
      <c r="B9" s="2" t="s">
        <v>39</v>
      </c>
      <c r="C9" s="2" t="s">
        <v>11</v>
      </c>
      <c r="D9" s="3">
        <v>59</v>
      </c>
      <c r="E9" s="2" t="s">
        <v>12</v>
      </c>
      <c r="F9" s="2" t="s">
        <v>37</v>
      </c>
      <c r="G9" s="4">
        <v>144988</v>
      </c>
      <c r="H9" s="2" t="s">
        <v>14</v>
      </c>
      <c r="I9" s="1">
        <v>45448</v>
      </c>
      <c r="J9" t="str">
        <f ca="1">DATEDIF(Table2[[#This Row],[Join_Date]], TODAY(), "Y") &amp; "yrs"</f>
        <v>1yrs</v>
      </c>
      <c r="K9" t="str">
        <f>IF(Table2[[#This Row],[Age]]&lt;=19,"Teen",
   IF(Table2[[#This Row],[Age]]&lt;=35,"Young Adult",
      IF(Table2[[#This Row],[Age]]&lt;=55,"Middle-Age",
         "Old")))</f>
        <v>Old</v>
      </c>
      <c r="L9" t="str">
        <f>IF(Table2[[#This Row],[Income]]&lt;=30000,"Low",
   IF(Table2[[#This Row],[Income]]&lt;=60000,"Medium",
      IF(Table2[[#This Row],[Income]]&lt;=100000,"High",
         "Premium")))</f>
        <v>Premium</v>
      </c>
    </row>
    <row r="10" spans="1:12" x14ac:dyDescent="0.35">
      <c r="A10" t="s">
        <v>40</v>
      </c>
      <c r="B10" s="2" t="s">
        <v>41</v>
      </c>
      <c r="C10" s="2" t="s">
        <v>11</v>
      </c>
      <c r="D10" s="3">
        <v>48</v>
      </c>
      <c r="E10" s="2" t="s">
        <v>30</v>
      </c>
      <c r="F10" s="2" t="s">
        <v>42</v>
      </c>
      <c r="G10" s="4">
        <v>65028</v>
      </c>
      <c r="H10" s="2" t="s">
        <v>20</v>
      </c>
      <c r="I10" s="1">
        <v>43507</v>
      </c>
      <c r="J10" t="str">
        <f ca="1">DATEDIF(Table2[[#This Row],[Join_Date]], TODAY(), "Y") &amp; "yrs"</f>
        <v>6yrs</v>
      </c>
      <c r="K10" t="str">
        <f>IF(Table2[[#This Row],[Age]]&lt;=19,"Teen",
   IF(Table2[[#This Row],[Age]]&lt;=35,"Young Adult",
      IF(Table2[[#This Row],[Age]]&lt;=55,"Middle-Age",
         "Old")))</f>
        <v>Middle-Age</v>
      </c>
      <c r="L10" t="str">
        <f>IF(Table2[[#This Row],[Income]]&lt;=30000,"Low",
   IF(Table2[[#This Row],[Income]]&lt;=60000,"Medium",
      IF(Table2[[#This Row],[Income]]&lt;=100000,"High",
         "Premium")))</f>
        <v>High</v>
      </c>
    </row>
    <row r="11" spans="1:12" x14ac:dyDescent="0.35">
      <c r="A11" t="s">
        <v>43</v>
      </c>
      <c r="B11" s="2" t="s">
        <v>44</v>
      </c>
      <c r="C11" s="2" t="s">
        <v>17</v>
      </c>
      <c r="D11" s="3">
        <v>71</v>
      </c>
      <c r="E11" s="2" t="s">
        <v>30</v>
      </c>
      <c r="F11" s="2" t="s">
        <v>19</v>
      </c>
      <c r="G11" s="4">
        <v>188645</v>
      </c>
      <c r="H11" s="2" t="s">
        <v>20</v>
      </c>
      <c r="I11" s="1">
        <v>42405</v>
      </c>
      <c r="J11" t="str">
        <f ca="1">DATEDIF(Table2[[#This Row],[Join_Date]], TODAY(), "Y") &amp; "yrs"</f>
        <v>9yrs</v>
      </c>
      <c r="K11" t="str">
        <f>IF(Table2[[#This Row],[Age]]&lt;=19,"Teen",
   IF(Table2[[#This Row],[Age]]&lt;=35,"Young Adult",
      IF(Table2[[#This Row],[Age]]&lt;=55,"Middle-Age",
         "Old")))</f>
        <v>Old</v>
      </c>
      <c r="L11" t="str">
        <f>IF(Table2[[#This Row],[Income]]&lt;=30000,"Low",
   IF(Table2[[#This Row],[Income]]&lt;=60000,"Medium",
      IF(Table2[[#This Row],[Income]]&lt;=100000,"High",
         "Premium")))</f>
        <v>Premium</v>
      </c>
    </row>
    <row r="12" spans="1:12" x14ac:dyDescent="0.35">
      <c r="A12" t="s">
        <v>45</v>
      </c>
      <c r="B12" s="2" t="s">
        <v>46</v>
      </c>
      <c r="C12" s="2" t="s">
        <v>11</v>
      </c>
      <c r="D12" s="3">
        <v>20</v>
      </c>
      <c r="E12" s="2" t="s">
        <v>34</v>
      </c>
      <c r="F12" s="2" t="s">
        <v>13</v>
      </c>
      <c r="G12" s="4">
        <v>151878</v>
      </c>
      <c r="H12" s="2" t="s">
        <v>24</v>
      </c>
      <c r="I12" s="1">
        <v>42781</v>
      </c>
      <c r="J12" t="str">
        <f ca="1">DATEDIF(Table2[[#This Row],[Join_Date]], TODAY(), "Y") &amp; "yrs"</f>
        <v>8yrs</v>
      </c>
      <c r="K12" t="str">
        <f>IF(Table2[[#This Row],[Age]]&lt;=19,"Teen",
   IF(Table2[[#This Row],[Age]]&lt;=35,"Young Adult",
      IF(Table2[[#This Row],[Age]]&lt;=55,"Middle-Age",
         "Old")))</f>
        <v>Young Adult</v>
      </c>
      <c r="L12" t="str">
        <f>IF(Table2[[#This Row],[Income]]&lt;=30000,"Low",
   IF(Table2[[#This Row],[Income]]&lt;=60000,"Medium",
      IF(Table2[[#This Row],[Income]]&lt;=100000,"High",
         "Premium")))</f>
        <v>Premium</v>
      </c>
    </row>
    <row r="13" spans="1:12" x14ac:dyDescent="0.35">
      <c r="A13" t="s">
        <v>47</v>
      </c>
      <c r="B13" s="2" t="s">
        <v>48</v>
      </c>
      <c r="C13" s="2" t="s">
        <v>11</v>
      </c>
      <c r="D13" s="3">
        <v>57</v>
      </c>
      <c r="E13" s="2" t="s">
        <v>30</v>
      </c>
      <c r="F13" s="2" t="s">
        <v>19</v>
      </c>
      <c r="G13" s="4">
        <v>144343</v>
      </c>
      <c r="H13" s="2" t="s">
        <v>20</v>
      </c>
      <c r="I13" s="1">
        <v>45280</v>
      </c>
      <c r="J13" t="str">
        <f ca="1">DATEDIF(Table2[[#This Row],[Join_Date]], TODAY(), "Y") &amp; "yrs"</f>
        <v>2yrs</v>
      </c>
      <c r="K13" t="str">
        <f>IF(Table2[[#This Row],[Age]]&lt;=19,"Teen",
   IF(Table2[[#This Row],[Age]]&lt;=35,"Young Adult",
      IF(Table2[[#This Row],[Age]]&lt;=55,"Middle-Age",
         "Old")))</f>
        <v>Old</v>
      </c>
      <c r="L13" t="str">
        <f>IF(Table2[[#This Row],[Income]]&lt;=30000,"Low",
   IF(Table2[[#This Row],[Income]]&lt;=60000,"Medium",
      IF(Table2[[#This Row],[Income]]&lt;=100000,"High",
         "Premium")))</f>
        <v>Premium</v>
      </c>
    </row>
    <row r="14" spans="1:12" x14ac:dyDescent="0.35">
      <c r="A14" t="s">
        <v>49</v>
      </c>
      <c r="B14" s="2" t="s">
        <v>50</v>
      </c>
      <c r="C14" s="2" t="s">
        <v>11</v>
      </c>
      <c r="D14" s="3">
        <v>63</v>
      </c>
      <c r="E14" s="2" t="s">
        <v>18</v>
      </c>
      <c r="F14" s="2" t="s">
        <v>19</v>
      </c>
      <c r="G14" s="4">
        <v>148301</v>
      </c>
      <c r="H14" s="2" t="s">
        <v>14</v>
      </c>
      <c r="I14" s="1">
        <v>45018</v>
      </c>
      <c r="J14" t="str">
        <f ca="1">DATEDIF(Table2[[#This Row],[Join_Date]], TODAY(), "Y") &amp; "yrs"</f>
        <v>2yrs</v>
      </c>
      <c r="K14" t="str">
        <f>IF(Table2[[#This Row],[Age]]&lt;=19,"Teen",
   IF(Table2[[#This Row],[Age]]&lt;=35,"Young Adult",
      IF(Table2[[#This Row],[Age]]&lt;=55,"Middle-Age",
         "Old")))</f>
        <v>Old</v>
      </c>
      <c r="L14" t="str">
        <f>IF(Table2[[#This Row],[Income]]&lt;=30000,"Low",
   IF(Table2[[#This Row],[Income]]&lt;=60000,"Medium",
      IF(Table2[[#This Row],[Income]]&lt;=100000,"High",
         "Premium")))</f>
        <v>Premium</v>
      </c>
    </row>
    <row r="15" spans="1:12" x14ac:dyDescent="0.35">
      <c r="A15" t="s">
        <v>51</v>
      </c>
      <c r="B15" s="2" t="s">
        <v>52</v>
      </c>
      <c r="C15" s="2" t="s">
        <v>11</v>
      </c>
      <c r="D15" s="3">
        <v>41</v>
      </c>
      <c r="E15" s="2" t="s">
        <v>30</v>
      </c>
      <c r="F15" s="2" t="s">
        <v>19</v>
      </c>
      <c r="G15" s="4">
        <v>146295</v>
      </c>
      <c r="H15" s="2" t="s">
        <v>20</v>
      </c>
      <c r="I15" s="1">
        <v>42960</v>
      </c>
      <c r="J15" t="str">
        <f ca="1">DATEDIF(Table2[[#This Row],[Join_Date]], TODAY(), "Y") &amp; "yrs"</f>
        <v>8yrs</v>
      </c>
      <c r="K15" t="str">
        <f>IF(Table2[[#This Row],[Age]]&lt;=19,"Teen",
   IF(Table2[[#This Row],[Age]]&lt;=35,"Young Adult",
      IF(Table2[[#This Row],[Age]]&lt;=55,"Middle-Age",
         "Old")))</f>
        <v>Middle-Age</v>
      </c>
      <c r="L15" t="str">
        <f>IF(Table2[[#This Row],[Income]]&lt;=30000,"Low",
   IF(Table2[[#This Row],[Income]]&lt;=60000,"Medium",
      IF(Table2[[#This Row],[Income]]&lt;=100000,"High",
         "Premium")))</f>
        <v>Premium</v>
      </c>
    </row>
    <row r="16" spans="1:12" x14ac:dyDescent="0.35">
      <c r="A16" t="s">
        <v>53</v>
      </c>
      <c r="B16" s="2" t="s">
        <v>54</v>
      </c>
      <c r="C16" s="2" t="s">
        <v>17</v>
      </c>
      <c r="D16" s="3">
        <v>67</v>
      </c>
      <c r="E16" s="2" t="s">
        <v>18</v>
      </c>
      <c r="F16" s="2" t="s">
        <v>19</v>
      </c>
      <c r="G16" s="4">
        <v>180829</v>
      </c>
      <c r="H16" s="2" t="s">
        <v>20</v>
      </c>
      <c r="I16" s="1">
        <v>43673</v>
      </c>
      <c r="J16" t="str">
        <f ca="1">DATEDIF(Table2[[#This Row],[Join_Date]], TODAY(), "Y") &amp; "yrs"</f>
        <v>6yrs</v>
      </c>
      <c r="K16" t="str">
        <f>IF(Table2[[#This Row],[Age]]&lt;=19,"Teen",
   IF(Table2[[#This Row],[Age]]&lt;=35,"Young Adult",
      IF(Table2[[#This Row],[Age]]&lt;=55,"Middle-Age",
         "Old")))</f>
        <v>Old</v>
      </c>
      <c r="L16" t="str">
        <f>IF(Table2[[#This Row],[Income]]&lt;=30000,"Low",
   IF(Table2[[#This Row],[Income]]&lt;=60000,"Medium",
      IF(Table2[[#This Row],[Income]]&lt;=100000,"High",
         "Premium")))</f>
        <v>Premium</v>
      </c>
    </row>
    <row r="17" spans="1:12" x14ac:dyDescent="0.35">
      <c r="A17" t="s">
        <v>55</v>
      </c>
      <c r="B17" s="2" t="s">
        <v>56</v>
      </c>
      <c r="C17" s="2" t="s">
        <v>11</v>
      </c>
      <c r="D17" s="3">
        <v>49</v>
      </c>
      <c r="E17" s="2" t="s">
        <v>34</v>
      </c>
      <c r="F17" s="2" t="s">
        <v>27</v>
      </c>
      <c r="G17" s="4">
        <v>54636</v>
      </c>
      <c r="H17" s="2" t="s">
        <v>14</v>
      </c>
      <c r="I17" s="1">
        <v>43643</v>
      </c>
      <c r="J17" t="str">
        <f ca="1">DATEDIF(Table2[[#This Row],[Join_Date]], TODAY(), "Y") &amp; "yrs"</f>
        <v>6yrs</v>
      </c>
      <c r="K17" t="str">
        <f>IF(Table2[[#This Row],[Age]]&lt;=19,"Teen",
   IF(Table2[[#This Row],[Age]]&lt;=35,"Young Adult",
      IF(Table2[[#This Row],[Age]]&lt;=55,"Middle-Age",
         "Old")))</f>
        <v>Middle-Age</v>
      </c>
      <c r="L17" t="str">
        <f>IF(Table2[[#This Row],[Income]]&lt;=30000,"Low",
   IF(Table2[[#This Row],[Income]]&lt;=60000,"Medium",
      IF(Table2[[#This Row],[Income]]&lt;=100000,"High",
         "Premium")))</f>
        <v>Medium</v>
      </c>
    </row>
    <row r="18" spans="1:12" x14ac:dyDescent="0.35">
      <c r="A18" t="s">
        <v>57</v>
      </c>
      <c r="B18" s="2" t="s">
        <v>58</v>
      </c>
      <c r="C18" s="2" t="s">
        <v>17</v>
      </c>
      <c r="D18" s="3">
        <v>64</v>
      </c>
      <c r="E18" s="2" t="s">
        <v>34</v>
      </c>
      <c r="F18" s="2" t="s">
        <v>27</v>
      </c>
      <c r="G18" s="4">
        <v>199352</v>
      </c>
      <c r="H18" s="2" t="s">
        <v>14</v>
      </c>
      <c r="I18" s="1">
        <v>44375</v>
      </c>
      <c r="J18" t="str">
        <f ca="1">DATEDIF(Table2[[#This Row],[Join_Date]], TODAY(), "Y") &amp; "yrs"</f>
        <v>4yrs</v>
      </c>
      <c r="K18" t="str">
        <f>IF(Table2[[#This Row],[Age]]&lt;=19,"Teen",
   IF(Table2[[#This Row],[Age]]&lt;=35,"Young Adult",
      IF(Table2[[#This Row],[Age]]&lt;=55,"Middle-Age",
         "Old")))</f>
        <v>Old</v>
      </c>
      <c r="L18" t="str">
        <f>IF(Table2[[#This Row],[Income]]&lt;=30000,"Low",
   IF(Table2[[#This Row],[Income]]&lt;=60000,"Medium",
      IF(Table2[[#This Row],[Income]]&lt;=100000,"High",
         "Premium")))</f>
        <v>Premium</v>
      </c>
    </row>
    <row r="19" spans="1:12" x14ac:dyDescent="0.35">
      <c r="A19" t="s">
        <v>59</v>
      </c>
      <c r="B19" s="2" t="s">
        <v>60</v>
      </c>
      <c r="C19" s="2" t="s">
        <v>17</v>
      </c>
      <c r="D19" s="3">
        <v>39</v>
      </c>
      <c r="E19" s="2" t="s">
        <v>34</v>
      </c>
      <c r="F19" s="2" t="s">
        <v>42</v>
      </c>
      <c r="G19" s="4">
        <v>44262</v>
      </c>
      <c r="H19" s="2" t="s">
        <v>24</v>
      </c>
      <c r="I19" s="1">
        <v>45728</v>
      </c>
      <c r="J19" t="str">
        <f ca="1">DATEDIF(Table2[[#This Row],[Join_Date]], TODAY(), "Y") &amp; "yrs"</f>
        <v>0yrs</v>
      </c>
      <c r="K19" t="str">
        <f>IF(Table2[[#This Row],[Age]]&lt;=19,"Teen",
   IF(Table2[[#This Row],[Age]]&lt;=35,"Young Adult",
      IF(Table2[[#This Row],[Age]]&lt;=55,"Middle-Age",
         "Old")))</f>
        <v>Middle-Age</v>
      </c>
      <c r="L19" t="str">
        <f>IF(Table2[[#This Row],[Income]]&lt;=30000,"Low",
   IF(Table2[[#This Row],[Income]]&lt;=60000,"Medium",
      IF(Table2[[#This Row],[Income]]&lt;=100000,"High",
         "Premium")))</f>
        <v>Medium</v>
      </c>
    </row>
    <row r="20" spans="1:12" x14ac:dyDescent="0.35">
      <c r="A20" t="s">
        <v>61</v>
      </c>
      <c r="B20" s="2" t="s">
        <v>62</v>
      </c>
      <c r="C20" s="2" t="s">
        <v>17</v>
      </c>
      <c r="D20" s="3">
        <v>40</v>
      </c>
      <c r="E20" s="2" t="s">
        <v>34</v>
      </c>
      <c r="F20" s="2" t="s">
        <v>23</v>
      </c>
      <c r="G20" s="4">
        <v>100435</v>
      </c>
      <c r="H20" s="2" t="s">
        <v>20</v>
      </c>
      <c r="I20" s="1">
        <v>44456</v>
      </c>
      <c r="J20" t="str">
        <f ca="1">DATEDIF(Table2[[#This Row],[Join_Date]], TODAY(), "Y") &amp; "yrs"</f>
        <v>4yrs</v>
      </c>
      <c r="K20" t="str">
        <f>IF(Table2[[#This Row],[Age]]&lt;=19,"Teen",
   IF(Table2[[#This Row],[Age]]&lt;=35,"Young Adult",
      IF(Table2[[#This Row],[Age]]&lt;=55,"Middle-Age",
         "Old")))</f>
        <v>Middle-Age</v>
      </c>
      <c r="L20" t="str">
        <f>IF(Table2[[#This Row],[Income]]&lt;=30000,"Low",
   IF(Table2[[#This Row],[Income]]&lt;=60000,"Medium",
      IF(Table2[[#This Row],[Income]]&lt;=100000,"High",
         "Premium")))</f>
        <v>Premium</v>
      </c>
    </row>
    <row r="21" spans="1:12" x14ac:dyDescent="0.35">
      <c r="A21" t="s">
        <v>63</v>
      </c>
      <c r="B21" s="2" t="s">
        <v>64</v>
      </c>
      <c r="C21" s="2" t="s">
        <v>11</v>
      </c>
      <c r="D21" s="3">
        <v>19</v>
      </c>
      <c r="E21" s="2" t="s">
        <v>34</v>
      </c>
      <c r="F21" s="2" t="s">
        <v>37</v>
      </c>
      <c r="G21" s="4">
        <v>148583</v>
      </c>
      <c r="H21" s="2" t="s">
        <v>20</v>
      </c>
      <c r="I21" s="1">
        <v>45058</v>
      </c>
      <c r="J21" t="str">
        <f ca="1">DATEDIF(Table2[[#This Row],[Join_Date]], TODAY(), "Y") &amp; "yrs"</f>
        <v>2yrs</v>
      </c>
      <c r="K21" t="str">
        <f>IF(Table2[[#This Row],[Age]]&lt;=19,"Teen",
   IF(Table2[[#This Row],[Age]]&lt;=35,"Young Adult",
      IF(Table2[[#This Row],[Age]]&lt;=55,"Middle-Age",
         "Old")))</f>
        <v>Teen</v>
      </c>
      <c r="L21" t="str">
        <f>IF(Table2[[#This Row],[Income]]&lt;=30000,"Low",
   IF(Table2[[#This Row],[Income]]&lt;=60000,"Medium",
      IF(Table2[[#This Row],[Income]]&lt;=100000,"High",
         "Premium")))</f>
        <v>Premium</v>
      </c>
    </row>
    <row r="22" spans="1:12" x14ac:dyDescent="0.35">
      <c r="A22" t="s">
        <v>65</v>
      </c>
      <c r="B22" s="2" t="s">
        <v>66</v>
      </c>
      <c r="C22" s="2" t="s">
        <v>17</v>
      </c>
      <c r="D22" s="3">
        <v>44</v>
      </c>
      <c r="E22" s="2" t="s">
        <v>18</v>
      </c>
      <c r="F22" s="2" t="s">
        <v>19</v>
      </c>
      <c r="G22" s="4">
        <v>189269</v>
      </c>
      <c r="H22" s="2" t="s">
        <v>14</v>
      </c>
      <c r="I22" s="1">
        <v>45414</v>
      </c>
      <c r="J22" t="str">
        <f ca="1">DATEDIF(Table2[[#This Row],[Join_Date]], TODAY(), "Y") &amp; "yrs"</f>
        <v>1yrs</v>
      </c>
      <c r="K22" t="str">
        <f>IF(Table2[[#This Row],[Age]]&lt;=19,"Teen",
   IF(Table2[[#This Row],[Age]]&lt;=35,"Young Adult",
      IF(Table2[[#This Row],[Age]]&lt;=55,"Middle-Age",
         "Old")))</f>
        <v>Middle-Age</v>
      </c>
      <c r="L22" t="str">
        <f>IF(Table2[[#This Row],[Income]]&lt;=30000,"Low",
   IF(Table2[[#This Row],[Income]]&lt;=60000,"Medium",
      IF(Table2[[#This Row],[Income]]&lt;=100000,"High",
         "Premium")))</f>
        <v>Premium</v>
      </c>
    </row>
    <row r="23" spans="1:12" x14ac:dyDescent="0.35">
      <c r="A23" t="s">
        <v>67</v>
      </c>
      <c r="B23" s="2" t="s">
        <v>68</v>
      </c>
      <c r="C23" s="2" t="s">
        <v>11</v>
      </c>
      <c r="D23" s="3">
        <v>59</v>
      </c>
      <c r="E23" s="2" t="s">
        <v>18</v>
      </c>
      <c r="F23" s="2" t="s">
        <v>42</v>
      </c>
      <c r="G23" s="4">
        <v>61844</v>
      </c>
      <c r="H23" s="2" t="s">
        <v>20</v>
      </c>
      <c r="I23" s="1">
        <v>45118</v>
      </c>
      <c r="J23" t="str">
        <f ca="1">DATEDIF(Table2[[#This Row],[Join_Date]], TODAY(), "Y") &amp; "yrs"</f>
        <v>2yrs</v>
      </c>
      <c r="K23" t="str">
        <f>IF(Table2[[#This Row],[Age]]&lt;=19,"Teen",
   IF(Table2[[#This Row],[Age]]&lt;=35,"Young Adult",
      IF(Table2[[#This Row],[Age]]&lt;=55,"Middle-Age",
         "Old")))</f>
        <v>Old</v>
      </c>
      <c r="L23" t="str">
        <f>IF(Table2[[#This Row],[Income]]&lt;=30000,"Low",
   IF(Table2[[#This Row],[Income]]&lt;=60000,"Medium",
      IF(Table2[[#This Row],[Income]]&lt;=100000,"High",
         "Premium")))</f>
        <v>High</v>
      </c>
    </row>
    <row r="24" spans="1:12" x14ac:dyDescent="0.35">
      <c r="A24" t="s">
        <v>69</v>
      </c>
      <c r="B24" s="2" t="s">
        <v>70</v>
      </c>
      <c r="C24" s="2" t="s">
        <v>17</v>
      </c>
      <c r="D24" s="3">
        <v>19</v>
      </c>
      <c r="E24" s="2" t="s">
        <v>34</v>
      </c>
      <c r="F24" s="2" t="s">
        <v>23</v>
      </c>
      <c r="G24" s="4">
        <v>84754</v>
      </c>
      <c r="H24" s="2" t="s">
        <v>14</v>
      </c>
      <c r="I24" s="1">
        <v>44745</v>
      </c>
      <c r="J24" t="str">
        <f ca="1">DATEDIF(Table2[[#This Row],[Join_Date]], TODAY(), "Y") &amp; "yrs"</f>
        <v>3yrs</v>
      </c>
      <c r="K24" t="str">
        <f>IF(Table2[[#This Row],[Age]]&lt;=19,"Teen",
   IF(Table2[[#This Row],[Age]]&lt;=35,"Young Adult",
      IF(Table2[[#This Row],[Age]]&lt;=55,"Middle-Age",
         "Old")))</f>
        <v>Teen</v>
      </c>
      <c r="L24" t="str">
        <f>IF(Table2[[#This Row],[Income]]&lt;=30000,"Low",
   IF(Table2[[#This Row],[Income]]&lt;=60000,"Medium",
      IF(Table2[[#This Row],[Income]]&lt;=100000,"High",
         "Premium")))</f>
        <v>High</v>
      </c>
    </row>
    <row r="25" spans="1:12" x14ac:dyDescent="0.35">
      <c r="A25" t="s">
        <v>71</v>
      </c>
      <c r="B25" s="2" t="s">
        <v>72</v>
      </c>
      <c r="C25" s="2" t="s">
        <v>17</v>
      </c>
      <c r="D25" s="3">
        <v>43</v>
      </c>
      <c r="E25" s="2" t="s">
        <v>30</v>
      </c>
      <c r="F25" s="2" t="s">
        <v>37</v>
      </c>
      <c r="G25" s="4">
        <v>185229</v>
      </c>
      <c r="H25" s="2" t="s">
        <v>20</v>
      </c>
      <c r="I25" s="1">
        <v>42765</v>
      </c>
      <c r="J25" t="str">
        <f ca="1">DATEDIF(Table2[[#This Row],[Join_Date]], TODAY(), "Y") &amp; "yrs"</f>
        <v>8yrs</v>
      </c>
      <c r="K25" t="str">
        <f>IF(Table2[[#This Row],[Age]]&lt;=19,"Teen",
   IF(Table2[[#This Row],[Age]]&lt;=35,"Young Adult",
      IF(Table2[[#This Row],[Age]]&lt;=55,"Middle-Age",
         "Old")))</f>
        <v>Middle-Age</v>
      </c>
      <c r="L25" t="str">
        <f>IF(Table2[[#This Row],[Income]]&lt;=30000,"Low",
   IF(Table2[[#This Row],[Income]]&lt;=60000,"Medium",
      IF(Table2[[#This Row],[Income]]&lt;=100000,"High",
         "Premium")))</f>
        <v>Premium</v>
      </c>
    </row>
    <row r="26" spans="1:12" x14ac:dyDescent="0.35">
      <c r="A26" t="s">
        <v>73</v>
      </c>
      <c r="B26" s="2" t="s">
        <v>74</v>
      </c>
      <c r="C26" s="2" t="s">
        <v>17</v>
      </c>
      <c r="D26" s="3">
        <v>34</v>
      </c>
      <c r="E26" s="2" t="s">
        <v>12</v>
      </c>
      <c r="F26" s="2" t="s">
        <v>31</v>
      </c>
      <c r="G26" s="4">
        <v>97129</v>
      </c>
      <c r="H26" s="2" t="s">
        <v>14</v>
      </c>
      <c r="I26" s="1">
        <v>43718</v>
      </c>
      <c r="J26" t="str">
        <f ca="1">DATEDIF(Table2[[#This Row],[Join_Date]], TODAY(), "Y") &amp; "yrs"</f>
        <v>6yrs</v>
      </c>
      <c r="K26" t="str">
        <f>IF(Table2[[#This Row],[Age]]&lt;=19,"Teen",
   IF(Table2[[#This Row],[Age]]&lt;=35,"Young Adult",
      IF(Table2[[#This Row],[Age]]&lt;=55,"Middle-Age",
         "Old")))</f>
        <v>Young Adult</v>
      </c>
      <c r="L26" t="str">
        <f>IF(Table2[[#This Row],[Income]]&lt;=30000,"Low",
   IF(Table2[[#This Row],[Income]]&lt;=60000,"Medium",
      IF(Table2[[#This Row],[Income]]&lt;=100000,"High",
         "Premium")))</f>
        <v>High</v>
      </c>
    </row>
    <row r="27" spans="1:12" x14ac:dyDescent="0.35">
      <c r="A27" t="s">
        <v>75</v>
      </c>
      <c r="B27" s="2" t="s">
        <v>76</v>
      </c>
      <c r="C27" s="2" t="s">
        <v>17</v>
      </c>
      <c r="D27" s="3">
        <v>57</v>
      </c>
      <c r="E27" s="2" t="s">
        <v>34</v>
      </c>
      <c r="F27" s="2" t="s">
        <v>13</v>
      </c>
      <c r="G27" s="4">
        <v>60042</v>
      </c>
      <c r="H27" s="2" t="s">
        <v>20</v>
      </c>
      <c r="I27" s="1">
        <v>44469</v>
      </c>
      <c r="J27" t="str">
        <f ca="1">DATEDIF(Table2[[#This Row],[Join_Date]], TODAY(), "Y") &amp; "yrs"</f>
        <v>4yrs</v>
      </c>
      <c r="K27" t="str">
        <f>IF(Table2[[#This Row],[Age]]&lt;=19,"Teen",
   IF(Table2[[#This Row],[Age]]&lt;=35,"Young Adult",
      IF(Table2[[#This Row],[Age]]&lt;=55,"Middle-Age",
         "Old")))</f>
        <v>Old</v>
      </c>
      <c r="L27" t="str">
        <f>IF(Table2[[#This Row],[Income]]&lt;=30000,"Low",
   IF(Table2[[#This Row],[Income]]&lt;=60000,"Medium",
      IF(Table2[[#This Row],[Income]]&lt;=100000,"High",
         "Premium")))</f>
        <v>High</v>
      </c>
    </row>
    <row r="28" spans="1:12" x14ac:dyDescent="0.35">
      <c r="A28" t="s">
        <v>77</v>
      </c>
      <c r="B28" s="2" t="s">
        <v>78</v>
      </c>
      <c r="C28" s="2" t="s">
        <v>17</v>
      </c>
      <c r="D28" s="3">
        <v>50</v>
      </c>
      <c r="E28" s="2" t="s">
        <v>30</v>
      </c>
      <c r="F28" s="2" t="s">
        <v>27</v>
      </c>
      <c r="G28" s="4">
        <v>81665</v>
      </c>
      <c r="H28" s="2" t="s">
        <v>24</v>
      </c>
      <c r="I28" s="1">
        <v>42607</v>
      </c>
      <c r="J28" t="str">
        <f ca="1">DATEDIF(Table2[[#This Row],[Join_Date]], TODAY(), "Y") &amp; "yrs"</f>
        <v>9yrs</v>
      </c>
      <c r="K28" t="str">
        <f>IF(Table2[[#This Row],[Age]]&lt;=19,"Teen",
   IF(Table2[[#This Row],[Age]]&lt;=35,"Young Adult",
      IF(Table2[[#This Row],[Age]]&lt;=55,"Middle-Age",
         "Old")))</f>
        <v>Middle-Age</v>
      </c>
      <c r="L28" t="str">
        <f>IF(Table2[[#This Row],[Income]]&lt;=30000,"Low",
   IF(Table2[[#This Row],[Income]]&lt;=60000,"Medium",
      IF(Table2[[#This Row],[Income]]&lt;=100000,"High",
         "Premium")))</f>
        <v>High</v>
      </c>
    </row>
    <row r="29" spans="1:12" x14ac:dyDescent="0.35">
      <c r="A29" t="s">
        <v>79</v>
      </c>
      <c r="B29" s="2" t="s">
        <v>80</v>
      </c>
      <c r="C29" s="2" t="s">
        <v>17</v>
      </c>
      <c r="D29" s="3">
        <v>26</v>
      </c>
      <c r="E29" s="2" t="s">
        <v>12</v>
      </c>
      <c r="F29" s="2" t="s">
        <v>31</v>
      </c>
      <c r="G29" s="4">
        <v>136953</v>
      </c>
      <c r="H29" s="2" t="s">
        <v>14</v>
      </c>
      <c r="I29" s="1">
        <v>43698</v>
      </c>
      <c r="J29" t="str">
        <f ca="1">DATEDIF(Table2[[#This Row],[Join_Date]], TODAY(), "Y") &amp; "yrs"</f>
        <v>6yrs</v>
      </c>
      <c r="K29" t="str">
        <f>IF(Table2[[#This Row],[Age]]&lt;=19,"Teen",
   IF(Table2[[#This Row],[Age]]&lt;=35,"Young Adult",
      IF(Table2[[#This Row],[Age]]&lt;=55,"Middle-Age",
         "Old")))</f>
        <v>Young Adult</v>
      </c>
      <c r="L29" t="str">
        <f>IF(Table2[[#This Row],[Income]]&lt;=30000,"Low",
   IF(Table2[[#This Row],[Income]]&lt;=60000,"Medium",
      IF(Table2[[#This Row],[Income]]&lt;=100000,"High",
         "Premium")))</f>
        <v>Premium</v>
      </c>
    </row>
    <row r="30" spans="1:12" x14ac:dyDescent="0.35">
      <c r="A30" t="s">
        <v>81</v>
      </c>
      <c r="B30" s="2" t="s">
        <v>82</v>
      </c>
      <c r="C30" s="2" t="s">
        <v>17</v>
      </c>
      <c r="D30" s="3">
        <v>60</v>
      </c>
      <c r="E30" s="2" t="s">
        <v>34</v>
      </c>
      <c r="F30" s="2" t="s">
        <v>37</v>
      </c>
      <c r="G30" s="4">
        <v>178448</v>
      </c>
      <c r="H30" s="2" t="s">
        <v>24</v>
      </c>
      <c r="I30" s="1">
        <v>44834</v>
      </c>
      <c r="J30" t="str">
        <f ca="1">DATEDIF(Table2[[#This Row],[Join_Date]], TODAY(), "Y") &amp; "yrs"</f>
        <v>3yrs</v>
      </c>
      <c r="K30" t="str">
        <f>IF(Table2[[#This Row],[Age]]&lt;=19,"Teen",
   IF(Table2[[#This Row],[Age]]&lt;=35,"Young Adult",
      IF(Table2[[#This Row],[Age]]&lt;=55,"Middle-Age",
         "Old")))</f>
        <v>Old</v>
      </c>
      <c r="L30" t="str">
        <f>IF(Table2[[#This Row],[Income]]&lt;=30000,"Low",
   IF(Table2[[#This Row],[Income]]&lt;=60000,"Medium",
      IF(Table2[[#This Row],[Income]]&lt;=100000,"High",
         "Premium")))</f>
        <v>Premium</v>
      </c>
    </row>
    <row r="31" spans="1:12" x14ac:dyDescent="0.35">
      <c r="A31" t="s">
        <v>83</v>
      </c>
      <c r="B31" s="2" t="s">
        <v>84</v>
      </c>
      <c r="C31" s="2" t="s">
        <v>17</v>
      </c>
      <c r="D31" s="3">
        <v>71</v>
      </c>
      <c r="E31" s="2" t="s">
        <v>34</v>
      </c>
      <c r="F31" s="2" t="s">
        <v>31</v>
      </c>
      <c r="G31" s="4">
        <v>165271</v>
      </c>
      <c r="H31" s="2" t="s">
        <v>14</v>
      </c>
      <c r="I31" s="1">
        <v>44109</v>
      </c>
      <c r="J31" t="str">
        <f ca="1">DATEDIF(Table2[[#This Row],[Join_Date]], TODAY(), "Y") &amp; "yrs"</f>
        <v>5yrs</v>
      </c>
      <c r="K31" t="str">
        <f>IF(Table2[[#This Row],[Age]]&lt;=19,"Teen",
   IF(Table2[[#This Row],[Age]]&lt;=35,"Young Adult",
      IF(Table2[[#This Row],[Age]]&lt;=55,"Middle-Age",
         "Old")))</f>
        <v>Old</v>
      </c>
      <c r="L31" t="str">
        <f>IF(Table2[[#This Row],[Income]]&lt;=30000,"Low",
   IF(Table2[[#This Row],[Income]]&lt;=60000,"Medium",
      IF(Table2[[#This Row],[Income]]&lt;=100000,"High",
         "Premium")))</f>
        <v>Premium</v>
      </c>
    </row>
    <row r="32" spans="1:12" x14ac:dyDescent="0.35">
      <c r="A32" t="s">
        <v>85</v>
      </c>
      <c r="B32" s="2" t="s">
        <v>86</v>
      </c>
      <c r="C32" s="2" t="s">
        <v>11</v>
      </c>
      <c r="D32" s="3">
        <v>65</v>
      </c>
      <c r="E32" s="2" t="s">
        <v>18</v>
      </c>
      <c r="F32" s="2" t="s">
        <v>13</v>
      </c>
      <c r="G32" s="4">
        <v>138533</v>
      </c>
      <c r="H32" s="2" t="s">
        <v>20</v>
      </c>
      <c r="I32" s="1">
        <v>42742</v>
      </c>
      <c r="J32" t="str">
        <f ca="1">DATEDIF(Table2[[#This Row],[Join_Date]], TODAY(), "Y") &amp; "yrs"</f>
        <v>9yrs</v>
      </c>
      <c r="K32" t="str">
        <f>IF(Table2[[#This Row],[Age]]&lt;=19,"Teen",
   IF(Table2[[#This Row],[Age]]&lt;=35,"Young Adult",
      IF(Table2[[#This Row],[Age]]&lt;=55,"Middle-Age",
         "Old")))</f>
        <v>Old</v>
      </c>
      <c r="L32" t="str">
        <f>IF(Table2[[#This Row],[Income]]&lt;=30000,"Low",
   IF(Table2[[#This Row],[Income]]&lt;=60000,"Medium",
      IF(Table2[[#This Row],[Income]]&lt;=100000,"High",
         "Premium")))</f>
        <v>Premium</v>
      </c>
    </row>
    <row r="33" spans="1:12" x14ac:dyDescent="0.35">
      <c r="A33" t="s">
        <v>87</v>
      </c>
      <c r="B33" s="2" t="s">
        <v>88</v>
      </c>
      <c r="C33" s="2" t="s">
        <v>11</v>
      </c>
      <c r="D33" s="3">
        <v>56</v>
      </c>
      <c r="E33" s="2" t="s">
        <v>12</v>
      </c>
      <c r="F33" s="2" t="s">
        <v>42</v>
      </c>
      <c r="G33" s="4">
        <v>93781</v>
      </c>
      <c r="H33" s="2" t="s">
        <v>20</v>
      </c>
      <c r="I33" s="1">
        <v>42565</v>
      </c>
      <c r="J33" t="str">
        <f ca="1">DATEDIF(Table2[[#This Row],[Join_Date]], TODAY(), "Y") &amp; "yrs"</f>
        <v>9yrs</v>
      </c>
      <c r="K33" t="str">
        <f>IF(Table2[[#This Row],[Age]]&lt;=19,"Teen",
   IF(Table2[[#This Row],[Age]]&lt;=35,"Young Adult",
      IF(Table2[[#This Row],[Age]]&lt;=55,"Middle-Age",
         "Old")))</f>
        <v>Old</v>
      </c>
      <c r="L33" t="str">
        <f>IF(Table2[[#This Row],[Income]]&lt;=30000,"Low",
   IF(Table2[[#This Row],[Income]]&lt;=60000,"Medium",
      IF(Table2[[#This Row],[Income]]&lt;=100000,"High",
         "Premium")))</f>
        <v>High</v>
      </c>
    </row>
    <row r="34" spans="1:12" x14ac:dyDescent="0.35">
      <c r="A34" t="s">
        <v>89</v>
      </c>
      <c r="B34" s="2" t="s">
        <v>90</v>
      </c>
      <c r="C34" s="2" t="s">
        <v>17</v>
      </c>
      <c r="D34" s="3">
        <v>46</v>
      </c>
      <c r="E34" s="2" t="s">
        <v>12</v>
      </c>
      <c r="F34" s="2" t="s">
        <v>37</v>
      </c>
      <c r="G34" s="4">
        <v>86262</v>
      </c>
      <c r="H34" s="2" t="s">
        <v>14</v>
      </c>
      <c r="I34" s="1">
        <v>43698</v>
      </c>
      <c r="J34" t="str">
        <f ca="1">DATEDIF(Table2[[#This Row],[Join_Date]], TODAY(), "Y") &amp; "yrs"</f>
        <v>6yrs</v>
      </c>
      <c r="K34" t="str">
        <f>IF(Table2[[#This Row],[Age]]&lt;=19,"Teen",
   IF(Table2[[#This Row],[Age]]&lt;=35,"Young Adult",
      IF(Table2[[#This Row],[Age]]&lt;=55,"Middle-Age",
         "Old")))</f>
        <v>Middle-Age</v>
      </c>
      <c r="L34" t="str">
        <f>IF(Table2[[#This Row],[Income]]&lt;=30000,"Low",
   IF(Table2[[#This Row],[Income]]&lt;=60000,"Medium",
      IF(Table2[[#This Row],[Income]]&lt;=100000,"High",
         "Premium")))</f>
        <v>High</v>
      </c>
    </row>
    <row r="35" spans="1:12" x14ac:dyDescent="0.35">
      <c r="A35" t="s">
        <v>91</v>
      </c>
      <c r="B35" s="2" t="s">
        <v>92</v>
      </c>
      <c r="C35" s="2" t="s">
        <v>17</v>
      </c>
      <c r="D35" s="3">
        <v>59</v>
      </c>
      <c r="E35" s="2" t="s">
        <v>30</v>
      </c>
      <c r="F35" s="2" t="s">
        <v>31</v>
      </c>
      <c r="G35" s="4">
        <v>66600</v>
      </c>
      <c r="H35" s="2" t="s">
        <v>20</v>
      </c>
      <c r="I35" s="1">
        <v>44513</v>
      </c>
      <c r="J35" t="str">
        <f ca="1">DATEDIF(Table2[[#This Row],[Join_Date]], TODAY(), "Y") &amp; "yrs"</f>
        <v>4yrs</v>
      </c>
      <c r="K35" t="str">
        <f>IF(Table2[[#This Row],[Age]]&lt;=19,"Teen",
   IF(Table2[[#This Row],[Age]]&lt;=35,"Young Adult",
      IF(Table2[[#This Row],[Age]]&lt;=55,"Middle-Age",
         "Old")))</f>
        <v>Old</v>
      </c>
      <c r="L35" t="str">
        <f>IF(Table2[[#This Row],[Income]]&lt;=30000,"Low",
   IF(Table2[[#This Row],[Income]]&lt;=60000,"Medium",
      IF(Table2[[#This Row],[Income]]&lt;=100000,"High",
         "Premium")))</f>
        <v>High</v>
      </c>
    </row>
    <row r="36" spans="1:12" x14ac:dyDescent="0.35">
      <c r="A36" t="s">
        <v>93</v>
      </c>
      <c r="B36" s="2" t="s">
        <v>94</v>
      </c>
      <c r="C36" s="2" t="s">
        <v>17</v>
      </c>
      <c r="D36" s="3">
        <v>72</v>
      </c>
      <c r="E36" s="2" t="s">
        <v>18</v>
      </c>
      <c r="F36" s="2" t="s">
        <v>27</v>
      </c>
      <c r="G36" s="4">
        <v>96898</v>
      </c>
      <c r="H36" s="2" t="s">
        <v>20</v>
      </c>
      <c r="I36" s="1">
        <v>42533</v>
      </c>
      <c r="J36" t="str">
        <f ca="1">DATEDIF(Table2[[#This Row],[Join_Date]], TODAY(), "Y") &amp; "yrs"</f>
        <v>9yrs</v>
      </c>
      <c r="K36" t="str">
        <f>IF(Table2[[#This Row],[Age]]&lt;=19,"Teen",
   IF(Table2[[#This Row],[Age]]&lt;=35,"Young Adult",
      IF(Table2[[#This Row],[Age]]&lt;=55,"Middle-Age",
         "Old")))</f>
        <v>Old</v>
      </c>
      <c r="L36" t="str">
        <f>IF(Table2[[#This Row],[Income]]&lt;=30000,"Low",
   IF(Table2[[#This Row],[Income]]&lt;=60000,"Medium",
      IF(Table2[[#This Row],[Income]]&lt;=100000,"High",
         "Premium")))</f>
        <v>High</v>
      </c>
    </row>
    <row r="37" spans="1:12" x14ac:dyDescent="0.35">
      <c r="A37" t="s">
        <v>95</v>
      </c>
      <c r="B37" s="2" t="s">
        <v>96</v>
      </c>
      <c r="C37" s="2" t="s">
        <v>11</v>
      </c>
      <c r="D37" s="3">
        <v>43</v>
      </c>
      <c r="E37" s="2" t="s">
        <v>18</v>
      </c>
      <c r="F37" s="2" t="s">
        <v>27</v>
      </c>
      <c r="G37" s="4">
        <v>169369</v>
      </c>
      <c r="H37" s="2" t="s">
        <v>14</v>
      </c>
      <c r="I37" s="1">
        <v>42902</v>
      </c>
      <c r="J37" t="str">
        <f ca="1">DATEDIF(Table2[[#This Row],[Join_Date]], TODAY(), "Y") &amp; "yrs"</f>
        <v>8yrs</v>
      </c>
      <c r="K37" t="str">
        <f>IF(Table2[[#This Row],[Age]]&lt;=19,"Teen",
   IF(Table2[[#This Row],[Age]]&lt;=35,"Young Adult",
      IF(Table2[[#This Row],[Age]]&lt;=55,"Middle-Age",
         "Old")))</f>
        <v>Middle-Age</v>
      </c>
      <c r="L37" t="str">
        <f>IF(Table2[[#This Row],[Income]]&lt;=30000,"Low",
   IF(Table2[[#This Row],[Income]]&lt;=60000,"Medium",
      IF(Table2[[#This Row],[Income]]&lt;=100000,"High",
         "Premium")))</f>
        <v>Premium</v>
      </c>
    </row>
    <row r="38" spans="1:12" x14ac:dyDescent="0.35">
      <c r="A38" t="s">
        <v>97</v>
      </c>
      <c r="B38" s="2" t="s">
        <v>98</v>
      </c>
      <c r="C38" s="2" t="s">
        <v>17</v>
      </c>
      <c r="D38" s="3">
        <v>52</v>
      </c>
      <c r="E38" s="2" t="s">
        <v>18</v>
      </c>
      <c r="F38" s="2" t="s">
        <v>23</v>
      </c>
      <c r="G38" s="4">
        <v>50448</v>
      </c>
      <c r="H38" s="2" t="s">
        <v>14</v>
      </c>
      <c r="I38" s="1">
        <v>42922</v>
      </c>
      <c r="J38" t="str">
        <f ca="1">DATEDIF(Table2[[#This Row],[Join_Date]], TODAY(), "Y") &amp; "yrs"</f>
        <v>8yrs</v>
      </c>
      <c r="K38" t="str">
        <f>IF(Table2[[#This Row],[Age]]&lt;=19,"Teen",
   IF(Table2[[#This Row],[Age]]&lt;=35,"Young Adult",
      IF(Table2[[#This Row],[Age]]&lt;=55,"Middle-Age",
         "Old")))</f>
        <v>Middle-Age</v>
      </c>
      <c r="L38" t="str">
        <f>IF(Table2[[#This Row],[Income]]&lt;=30000,"Low",
   IF(Table2[[#This Row],[Income]]&lt;=60000,"Medium",
      IF(Table2[[#This Row],[Income]]&lt;=100000,"High",
         "Premium")))</f>
        <v>Medium</v>
      </c>
    </row>
    <row r="39" spans="1:12" x14ac:dyDescent="0.35">
      <c r="A39" t="s">
        <v>99</v>
      </c>
      <c r="B39" s="2" t="s">
        <v>100</v>
      </c>
      <c r="C39" s="2" t="s">
        <v>11</v>
      </c>
      <c r="D39" s="3">
        <v>67</v>
      </c>
      <c r="E39" s="2" t="s">
        <v>18</v>
      </c>
      <c r="F39" s="2" t="s">
        <v>31</v>
      </c>
      <c r="G39" s="4">
        <v>46172</v>
      </c>
      <c r="H39" s="2" t="s">
        <v>20</v>
      </c>
      <c r="I39" s="1">
        <v>44507</v>
      </c>
      <c r="J39" t="str">
        <f ca="1">DATEDIF(Table2[[#This Row],[Join_Date]], TODAY(), "Y") &amp; "yrs"</f>
        <v>4yrs</v>
      </c>
      <c r="K39" t="str">
        <f>IF(Table2[[#This Row],[Age]]&lt;=19,"Teen",
   IF(Table2[[#This Row],[Age]]&lt;=35,"Young Adult",
      IF(Table2[[#This Row],[Age]]&lt;=55,"Middle-Age",
         "Old")))</f>
        <v>Old</v>
      </c>
      <c r="L39" t="str">
        <f>IF(Table2[[#This Row],[Income]]&lt;=30000,"Low",
   IF(Table2[[#This Row],[Income]]&lt;=60000,"Medium",
      IF(Table2[[#This Row],[Income]]&lt;=100000,"High",
         "Premium")))</f>
        <v>Medium</v>
      </c>
    </row>
    <row r="40" spans="1:12" x14ac:dyDescent="0.35">
      <c r="A40" t="s">
        <v>101</v>
      </c>
      <c r="B40" s="2" t="s">
        <v>102</v>
      </c>
      <c r="C40" s="2" t="s">
        <v>11</v>
      </c>
      <c r="D40" s="3">
        <v>42</v>
      </c>
      <c r="E40" s="2" t="s">
        <v>12</v>
      </c>
      <c r="F40" s="2" t="s">
        <v>19</v>
      </c>
      <c r="G40" s="4">
        <v>193946</v>
      </c>
      <c r="H40" s="2" t="s">
        <v>20</v>
      </c>
      <c r="I40" s="1">
        <v>44074</v>
      </c>
      <c r="J40" t="str">
        <f ca="1">DATEDIF(Table2[[#This Row],[Join_Date]], TODAY(), "Y") &amp; "yrs"</f>
        <v>5yrs</v>
      </c>
      <c r="K40" t="str">
        <f>IF(Table2[[#This Row],[Age]]&lt;=19,"Teen",
   IF(Table2[[#This Row],[Age]]&lt;=35,"Young Adult",
      IF(Table2[[#This Row],[Age]]&lt;=55,"Middle-Age",
         "Old")))</f>
        <v>Middle-Age</v>
      </c>
      <c r="L40" t="str">
        <f>IF(Table2[[#This Row],[Income]]&lt;=30000,"Low",
   IF(Table2[[#This Row],[Income]]&lt;=60000,"Medium",
      IF(Table2[[#This Row],[Income]]&lt;=100000,"High",
         "Premium")))</f>
        <v>Premium</v>
      </c>
    </row>
    <row r="41" spans="1:12" x14ac:dyDescent="0.35">
      <c r="A41" t="s">
        <v>103</v>
      </c>
      <c r="B41" s="2" t="s">
        <v>104</v>
      </c>
      <c r="C41" s="2" t="s">
        <v>11</v>
      </c>
      <c r="D41" s="3">
        <v>41</v>
      </c>
      <c r="E41" s="2" t="s">
        <v>12</v>
      </c>
      <c r="F41" s="2" t="s">
        <v>31</v>
      </c>
      <c r="G41" s="4">
        <v>27657</v>
      </c>
      <c r="H41" s="2" t="s">
        <v>20</v>
      </c>
      <c r="I41" s="1">
        <v>42296</v>
      </c>
      <c r="J41" t="str">
        <f ca="1">DATEDIF(Table2[[#This Row],[Join_Date]], TODAY(), "Y") &amp; "yrs"</f>
        <v>10yrs</v>
      </c>
      <c r="K41" t="str">
        <f>IF(Table2[[#This Row],[Age]]&lt;=19,"Teen",
   IF(Table2[[#This Row],[Age]]&lt;=35,"Young Adult",
      IF(Table2[[#This Row],[Age]]&lt;=55,"Middle-Age",
         "Old")))</f>
        <v>Middle-Age</v>
      </c>
      <c r="L41" t="str">
        <f>IF(Table2[[#This Row],[Income]]&lt;=30000,"Low",
   IF(Table2[[#This Row],[Income]]&lt;=60000,"Medium",
      IF(Table2[[#This Row],[Income]]&lt;=100000,"High",
         "Premium")))</f>
        <v>Low</v>
      </c>
    </row>
    <row r="42" spans="1:12" x14ac:dyDescent="0.35">
      <c r="A42" t="s">
        <v>105</v>
      </c>
      <c r="B42" s="2" t="s">
        <v>106</v>
      </c>
      <c r="C42" s="2" t="s">
        <v>11</v>
      </c>
      <c r="D42" s="3">
        <v>30</v>
      </c>
      <c r="E42" s="2" t="s">
        <v>34</v>
      </c>
      <c r="F42" s="2" t="s">
        <v>42</v>
      </c>
      <c r="G42" s="4">
        <v>176497</v>
      </c>
      <c r="H42" s="2" t="s">
        <v>20</v>
      </c>
      <c r="I42" s="1">
        <v>42853</v>
      </c>
      <c r="J42" t="str">
        <f ca="1">DATEDIF(Table2[[#This Row],[Join_Date]], TODAY(), "Y") &amp; "yrs"</f>
        <v>8yrs</v>
      </c>
      <c r="K42" t="str">
        <f>IF(Table2[[#This Row],[Age]]&lt;=19,"Teen",
   IF(Table2[[#This Row],[Age]]&lt;=35,"Young Adult",
      IF(Table2[[#This Row],[Age]]&lt;=55,"Middle-Age",
         "Old")))</f>
        <v>Young Adult</v>
      </c>
      <c r="L42" t="str">
        <f>IF(Table2[[#This Row],[Income]]&lt;=30000,"Low",
   IF(Table2[[#This Row],[Income]]&lt;=60000,"Medium",
      IF(Table2[[#This Row],[Income]]&lt;=100000,"High",
         "Premium")))</f>
        <v>Premium</v>
      </c>
    </row>
    <row r="43" spans="1:12" x14ac:dyDescent="0.35">
      <c r="A43" t="s">
        <v>107</v>
      </c>
      <c r="B43" s="2" t="s">
        <v>108</v>
      </c>
      <c r="C43" s="2" t="s">
        <v>11</v>
      </c>
      <c r="D43" s="3">
        <v>24</v>
      </c>
      <c r="E43" s="2" t="s">
        <v>34</v>
      </c>
      <c r="F43" s="2" t="s">
        <v>37</v>
      </c>
      <c r="G43" s="4">
        <v>177757</v>
      </c>
      <c r="H43" s="2" t="s">
        <v>14</v>
      </c>
      <c r="I43" s="1">
        <v>42576</v>
      </c>
      <c r="J43" t="str">
        <f ca="1">DATEDIF(Table2[[#This Row],[Join_Date]], TODAY(), "Y") &amp; "yrs"</f>
        <v>9yrs</v>
      </c>
      <c r="K43" t="str">
        <f>IF(Table2[[#This Row],[Age]]&lt;=19,"Teen",
   IF(Table2[[#This Row],[Age]]&lt;=35,"Young Adult",
      IF(Table2[[#This Row],[Age]]&lt;=55,"Middle-Age",
         "Old")))</f>
        <v>Young Adult</v>
      </c>
      <c r="L43" t="str">
        <f>IF(Table2[[#This Row],[Income]]&lt;=30000,"Low",
   IF(Table2[[#This Row],[Income]]&lt;=60000,"Medium",
      IF(Table2[[#This Row],[Income]]&lt;=100000,"High",
         "Premium")))</f>
        <v>Premium</v>
      </c>
    </row>
    <row r="44" spans="1:12" x14ac:dyDescent="0.35">
      <c r="A44" t="s">
        <v>109</v>
      </c>
      <c r="B44" s="2" t="s">
        <v>110</v>
      </c>
      <c r="C44" s="2" t="s">
        <v>17</v>
      </c>
      <c r="D44" s="3">
        <v>74</v>
      </c>
      <c r="E44" s="2" t="s">
        <v>18</v>
      </c>
      <c r="F44" s="2" t="s">
        <v>37</v>
      </c>
      <c r="G44" s="4">
        <v>132855</v>
      </c>
      <c r="H44" s="2" t="s">
        <v>20</v>
      </c>
      <c r="I44" s="1">
        <v>44752</v>
      </c>
      <c r="J44" t="str">
        <f ca="1">DATEDIF(Table2[[#This Row],[Join_Date]], TODAY(), "Y") &amp; "yrs"</f>
        <v>3yrs</v>
      </c>
      <c r="K44" t="str">
        <f>IF(Table2[[#This Row],[Age]]&lt;=19,"Teen",
   IF(Table2[[#This Row],[Age]]&lt;=35,"Young Adult",
      IF(Table2[[#This Row],[Age]]&lt;=55,"Middle-Age",
         "Old")))</f>
        <v>Old</v>
      </c>
      <c r="L44" t="str">
        <f>IF(Table2[[#This Row],[Income]]&lt;=30000,"Low",
   IF(Table2[[#This Row],[Income]]&lt;=60000,"Medium",
      IF(Table2[[#This Row],[Income]]&lt;=100000,"High",
         "Premium")))</f>
        <v>Premium</v>
      </c>
    </row>
    <row r="45" spans="1:12" x14ac:dyDescent="0.35">
      <c r="A45" t="s">
        <v>111</v>
      </c>
      <c r="B45" s="2" t="s">
        <v>112</v>
      </c>
      <c r="C45" s="2" t="s">
        <v>17</v>
      </c>
      <c r="D45" s="3">
        <v>53</v>
      </c>
      <c r="E45" s="2" t="s">
        <v>18</v>
      </c>
      <c r="F45" s="2" t="s">
        <v>42</v>
      </c>
      <c r="G45" s="4">
        <v>175650</v>
      </c>
      <c r="H45" s="2" t="s">
        <v>14</v>
      </c>
      <c r="I45" s="1">
        <v>44427</v>
      </c>
      <c r="J45" t="str">
        <f ca="1">DATEDIF(Table2[[#This Row],[Join_Date]], TODAY(), "Y") &amp; "yrs"</f>
        <v>4yrs</v>
      </c>
      <c r="K45" t="str">
        <f>IF(Table2[[#This Row],[Age]]&lt;=19,"Teen",
   IF(Table2[[#This Row],[Age]]&lt;=35,"Young Adult",
      IF(Table2[[#This Row],[Age]]&lt;=55,"Middle-Age",
         "Old")))</f>
        <v>Middle-Age</v>
      </c>
      <c r="L45" t="str">
        <f>IF(Table2[[#This Row],[Income]]&lt;=30000,"Low",
   IF(Table2[[#This Row],[Income]]&lt;=60000,"Medium",
      IF(Table2[[#This Row],[Income]]&lt;=100000,"High",
         "Premium")))</f>
        <v>Premium</v>
      </c>
    </row>
    <row r="46" spans="1:12" x14ac:dyDescent="0.35">
      <c r="A46" t="s">
        <v>113</v>
      </c>
      <c r="B46" s="2" t="s">
        <v>114</v>
      </c>
      <c r="C46" s="2" t="s">
        <v>17</v>
      </c>
      <c r="D46" s="3">
        <v>62</v>
      </c>
      <c r="E46" s="2" t="s">
        <v>18</v>
      </c>
      <c r="F46" s="2" t="s">
        <v>31</v>
      </c>
      <c r="G46" s="4">
        <v>179903</v>
      </c>
      <c r="H46" s="2" t="s">
        <v>14</v>
      </c>
      <c r="I46" s="1">
        <v>43636</v>
      </c>
      <c r="J46" t="str">
        <f ca="1">DATEDIF(Table2[[#This Row],[Join_Date]], TODAY(), "Y") &amp; "yrs"</f>
        <v>6yrs</v>
      </c>
      <c r="K46" t="str">
        <f>IF(Table2[[#This Row],[Age]]&lt;=19,"Teen",
   IF(Table2[[#This Row],[Age]]&lt;=35,"Young Adult",
      IF(Table2[[#This Row],[Age]]&lt;=55,"Middle-Age",
         "Old")))</f>
        <v>Old</v>
      </c>
      <c r="L46" t="str">
        <f>IF(Table2[[#This Row],[Income]]&lt;=30000,"Low",
   IF(Table2[[#This Row],[Income]]&lt;=60000,"Medium",
      IF(Table2[[#This Row],[Income]]&lt;=100000,"High",
         "Premium")))</f>
        <v>Premium</v>
      </c>
    </row>
    <row r="47" spans="1:12" x14ac:dyDescent="0.35">
      <c r="A47" t="s">
        <v>115</v>
      </c>
      <c r="B47" s="2" t="s">
        <v>116</v>
      </c>
      <c r="C47" s="2" t="s">
        <v>17</v>
      </c>
      <c r="D47" s="3">
        <v>37</v>
      </c>
      <c r="E47" s="2" t="s">
        <v>34</v>
      </c>
      <c r="F47" s="2" t="s">
        <v>42</v>
      </c>
      <c r="G47" s="4">
        <v>27906</v>
      </c>
      <c r="H47" s="2" t="s">
        <v>14</v>
      </c>
      <c r="I47" s="1">
        <v>44323</v>
      </c>
      <c r="J47" t="str">
        <f ca="1">DATEDIF(Table2[[#This Row],[Join_Date]], TODAY(), "Y") &amp; "yrs"</f>
        <v>4yrs</v>
      </c>
      <c r="K47" t="str">
        <f>IF(Table2[[#This Row],[Age]]&lt;=19,"Teen",
   IF(Table2[[#This Row],[Age]]&lt;=35,"Young Adult",
      IF(Table2[[#This Row],[Age]]&lt;=55,"Middle-Age",
         "Old")))</f>
        <v>Middle-Age</v>
      </c>
      <c r="L47" t="str">
        <f>IF(Table2[[#This Row],[Income]]&lt;=30000,"Low",
   IF(Table2[[#This Row],[Income]]&lt;=60000,"Medium",
      IF(Table2[[#This Row],[Income]]&lt;=100000,"High",
         "Premium")))</f>
        <v>Low</v>
      </c>
    </row>
    <row r="48" spans="1:12" x14ac:dyDescent="0.35">
      <c r="A48" t="s">
        <v>117</v>
      </c>
      <c r="B48" s="2" t="s">
        <v>118</v>
      </c>
      <c r="C48" s="2" t="s">
        <v>17</v>
      </c>
      <c r="D48" s="3">
        <v>18</v>
      </c>
      <c r="E48" s="2" t="s">
        <v>30</v>
      </c>
      <c r="F48" s="2" t="s">
        <v>13</v>
      </c>
      <c r="G48" s="4">
        <v>81413</v>
      </c>
      <c r="H48" s="2" t="s">
        <v>14</v>
      </c>
      <c r="I48" s="1">
        <v>42831</v>
      </c>
      <c r="J48" t="str">
        <f ca="1">DATEDIF(Table2[[#This Row],[Join_Date]], TODAY(), "Y") &amp; "yrs"</f>
        <v>8yrs</v>
      </c>
      <c r="K48" t="str">
        <f>IF(Table2[[#This Row],[Age]]&lt;=19,"Teen",
   IF(Table2[[#This Row],[Age]]&lt;=35,"Young Adult",
      IF(Table2[[#This Row],[Age]]&lt;=55,"Middle-Age",
         "Old")))</f>
        <v>Teen</v>
      </c>
      <c r="L48" t="str">
        <f>IF(Table2[[#This Row],[Income]]&lt;=30000,"Low",
   IF(Table2[[#This Row],[Income]]&lt;=60000,"Medium",
      IF(Table2[[#This Row],[Income]]&lt;=100000,"High",
         "Premium")))</f>
        <v>High</v>
      </c>
    </row>
    <row r="49" spans="1:12" x14ac:dyDescent="0.35">
      <c r="A49" t="s">
        <v>119</v>
      </c>
      <c r="B49" s="2" t="s">
        <v>120</v>
      </c>
      <c r="C49" s="2" t="s">
        <v>11</v>
      </c>
      <c r="D49" s="3">
        <v>25</v>
      </c>
      <c r="E49" s="2" t="s">
        <v>30</v>
      </c>
      <c r="F49" s="2" t="s">
        <v>42</v>
      </c>
      <c r="G49" s="4">
        <v>74028</v>
      </c>
      <c r="H49" s="2" t="s">
        <v>14</v>
      </c>
      <c r="I49" s="1">
        <v>45478</v>
      </c>
      <c r="J49" t="str">
        <f ca="1">DATEDIF(Table2[[#This Row],[Join_Date]], TODAY(), "Y") &amp; "yrs"</f>
        <v>1yrs</v>
      </c>
      <c r="K49" t="str">
        <f>IF(Table2[[#This Row],[Age]]&lt;=19,"Teen",
   IF(Table2[[#This Row],[Age]]&lt;=35,"Young Adult",
      IF(Table2[[#This Row],[Age]]&lt;=55,"Middle-Age",
         "Old")))</f>
        <v>Young Adult</v>
      </c>
      <c r="L49" t="str">
        <f>IF(Table2[[#This Row],[Income]]&lt;=30000,"Low",
   IF(Table2[[#This Row],[Income]]&lt;=60000,"Medium",
      IF(Table2[[#This Row],[Income]]&lt;=100000,"High",
         "Premium")))</f>
        <v>High</v>
      </c>
    </row>
    <row r="50" spans="1:12" x14ac:dyDescent="0.35">
      <c r="A50" t="s">
        <v>121</v>
      </c>
      <c r="B50" s="2" t="s">
        <v>122</v>
      </c>
      <c r="C50" s="2" t="s">
        <v>17</v>
      </c>
      <c r="D50" s="3">
        <v>63</v>
      </c>
      <c r="E50" s="2" t="s">
        <v>34</v>
      </c>
      <c r="F50" s="2" t="s">
        <v>27</v>
      </c>
      <c r="G50" s="4">
        <v>27287</v>
      </c>
      <c r="H50" s="2" t="s">
        <v>14</v>
      </c>
      <c r="I50" s="1">
        <v>42750</v>
      </c>
      <c r="J50" t="str">
        <f ca="1">DATEDIF(Table2[[#This Row],[Join_Date]], TODAY(), "Y") &amp; "yrs"</f>
        <v>9yrs</v>
      </c>
      <c r="K50" t="str">
        <f>IF(Table2[[#This Row],[Age]]&lt;=19,"Teen",
   IF(Table2[[#This Row],[Age]]&lt;=35,"Young Adult",
      IF(Table2[[#This Row],[Age]]&lt;=55,"Middle-Age",
         "Old")))</f>
        <v>Old</v>
      </c>
      <c r="L50" t="str">
        <f>IF(Table2[[#This Row],[Income]]&lt;=30000,"Low",
   IF(Table2[[#This Row],[Income]]&lt;=60000,"Medium",
      IF(Table2[[#This Row],[Income]]&lt;=100000,"High",
         "Premium")))</f>
        <v>Low</v>
      </c>
    </row>
    <row r="51" spans="1:12" x14ac:dyDescent="0.35">
      <c r="A51" t="s">
        <v>123</v>
      </c>
      <c r="B51" s="2" t="s">
        <v>124</v>
      </c>
      <c r="C51" s="2" t="s">
        <v>17</v>
      </c>
      <c r="D51" s="3">
        <v>33</v>
      </c>
      <c r="E51" s="2" t="s">
        <v>34</v>
      </c>
      <c r="F51" s="2" t="s">
        <v>42</v>
      </c>
      <c r="G51" s="4">
        <v>53660</v>
      </c>
      <c r="H51" s="2" t="s">
        <v>20</v>
      </c>
      <c r="I51" s="1">
        <v>44992</v>
      </c>
      <c r="J51" t="str">
        <f ca="1">DATEDIF(Table2[[#This Row],[Join_Date]], TODAY(), "Y") &amp; "yrs"</f>
        <v>2yrs</v>
      </c>
      <c r="K51" t="str">
        <f>IF(Table2[[#This Row],[Age]]&lt;=19,"Teen",
   IF(Table2[[#This Row],[Age]]&lt;=35,"Young Adult",
      IF(Table2[[#This Row],[Age]]&lt;=55,"Middle-Age",
         "Old")))</f>
        <v>Young Adult</v>
      </c>
      <c r="L51" t="str">
        <f>IF(Table2[[#This Row],[Income]]&lt;=30000,"Low",
   IF(Table2[[#This Row],[Income]]&lt;=60000,"Medium",
      IF(Table2[[#This Row],[Income]]&lt;=100000,"High",
         "Premium")))</f>
        <v>Medium</v>
      </c>
    </row>
    <row r="52" spans="1:12" x14ac:dyDescent="0.35">
      <c r="A52" t="s">
        <v>125</v>
      </c>
      <c r="B52" s="2" t="s">
        <v>126</v>
      </c>
      <c r="C52" s="2" t="s">
        <v>11</v>
      </c>
      <c r="D52" s="3">
        <v>31</v>
      </c>
      <c r="E52" s="2" t="s">
        <v>34</v>
      </c>
      <c r="F52" s="2" t="s">
        <v>37</v>
      </c>
      <c r="G52" s="4">
        <v>80504</v>
      </c>
      <c r="H52" s="2" t="s">
        <v>14</v>
      </c>
      <c r="I52" s="1">
        <v>42622</v>
      </c>
      <c r="J52" t="str">
        <f ca="1">DATEDIF(Table2[[#This Row],[Join_Date]], TODAY(), "Y") &amp; "yrs"</f>
        <v>9yrs</v>
      </c>
      <c r="K52" t="str">
        <f>IF(Table2[[#This Row],[Age]]&lt;=19,"Teen",
   IF(Table2[[#This Row],[Age]]&lt;=35,"Young Adult",
      IF(Table2[[#This Row],[Age]]&lt;=55,"Middle-Age",
         "Old")))</f>
        <v>Young Adult</v>
      </c>
      <c r="L52" t="str">
        <f>IF(Table2[[#This Row],[Income]]&lt;=30000,"Low",
   IF(Table2[[#This Row],[Income]]&lt;=60000,"Medium",
      IF(Table2[[#This Row],[Income]]&lt;=100000,"High",
         "Premium")))</f>
        <v>High</v>
      </c>
    </row>
    <row r="53" spans="1:12" x14ac:dyDescent="0.35">
      <c r="A53" t="s">
        <v>127</v>
      </c>
      <c r="B53" s="2" t="s">
        <v>128</v>
      </c>
      <c r="C53" s="2" t="s">
        <v>17</v>
      </c>
      <c r="D53" s="3">
        <v>29</v>
      </c>
      <c r="E53" s="2" t="s">
        <v>34</v>
      </c>
      <c r="F53" s="2" t="s">
        <v>27</v>
      </c>
      <c r="G53" s="4">
        <v>122979</v>
      </c>
      <c r="H53" s="2" t="s">
        <v>14</v>
      </c>
      <c r="I53" s="1">
        <v>45072</v>
      </c>
      <c r="J53" t="str">
        <f ca="1">DATEDIF(Table2[[#This Row],[Join_Date]], TODAY(), "Y") &amp; "yrs"</f>
        <v>2yrs</v>
      </c>
      <c r="K53" t="str">
        <f>IF(Table2[[#This Row],[Age]]&lt;=19,"Teen",
   IF(Table2[[#This Row],[Age]]&lt;=35,"Young Adult",
      IF(Table2[[#This Row],[Age]]&lt;=55,"Middle-Age",
         "Old")))</f>
        <v>Young Adult</v>
      </c>
      <c r="L53" t="str">
        <f>IF(Table2[[#This Row],[Income]]&lt;=30000,"Low",
   IF(Table2[[#This Row],[Income]]&lt;=60000,"Medium",
      IF(Table2[[#This Row],[Income]]&lt;=100000,"High",
         "Premium")))</f>
        <v>Premium</v>
      </c>
    </row>
    <row r="54" spans="1:12" x14ac:dyDescent="0.35">
      <c r="A54" t="s">
        <v>129</v>
      </c>
      <c r="B54" s="2" t="s">
        <v>130</v>
      </c>
      <c r="C54" s="2" t="s">
        <v>11</v>
      </c>
      <c r="D54" s="3">
        <v>68</v>
      </c>
      <c r="E54" s="2" t="s">
        <v>34</v>
      </c>
      <c r="F54" s="2" t="s">
        <v>37</v>
      </c>
      <c r="G54" s="4">
        <v>54701</v>
      </c>
      <c r="H54" s="2" t="s">
        <v>14</v>
      </c>
      <c r="I54" s="1">
        <v>44740</v>
      </c>
      <c r="J54" t="str">
        <f ca="1">DATEDIF(Table2[[#This Row],[Join_Date]], TODAY(), "Y") &amp; "yrs"</f>
        <v>3yrs</v>
      </c>
      <c r="K54" t="str">
        <f>IF(Table2[[#This Row],[Age]]&lt;=19,"Teen",
   IF(Table2[[#This Row],[Age]]&lt;=35,"Young Adult",
      IF(Table2[[#This Row],[Age]]&lt;=55,"Middle-Age",
         "Old")))</f>
        <v>Old</v>
      </c>
      <c r="L54" t="str">
        <f>IF(Table2[[#This Row],[Income]]&lt;=30000,"Low",
   IF(Table2[[#This Row],[Income]]&lt;=60000,"Medium",
      IF(Table2[[#This Row],[Income]]&lt;=100000,"High",
         "Premium")))</f>
        <v>Medium</v>
      </c>
    </row>
    <row r="55" spans="1:12" x14ac:dyDescent="0.35">
      <c r="A55" t="s">
        <v>131</v>
      </c>
      <c r="B55" s="2" t="s">
        <v>132</v>
      </c>
      <c r="C55" s="2" t="s">
        <v>17</v>
      </c>
      <c r="D55" s="3">
        <v>40</v>
      </c>
      <c r="E55" s="2" t="s">
        <v>34</v>
      </c>
      <c r="F55" s="2" t="s">
        <v>23</v>
      </c>
      <c r="G55" s="4">
        <v>103300</v>
      </c>
      <c r="H55" s="2" t="s">
        <v>14</v>
      </c>
      <c r="I55" s="1">
        <v>44107</v>
      </c>
      <c r="J55" t="str">
        <f ca="1">DATEDIF(Table2[[#This Row],[Join_Date]], TODAY(), "Y") &amp; "yrs"</f>
        <v>5yrs</v>
      </c>
      <c r="K55" t="str">
        <f>IF(Table2[[#This Row],[Age]]&lt;=19,"Teen",
   IF(Table2[[#This Row],[Age]]&lt;=35,"Young Adult",
      IF(Table2[[#This Row],[Age]]&lt;=55,"Middle-Age",
         "Old")))</f>
        <v>Middle-Age</v>
      </c>
      <c r="L55" t="str">
        <f>IF(Table2[[#This Row],[Income]]&lt;=30000,"Low",
   IF(Table2[[#This Row],[Income]]&lt;=60000,"Medium",
      IF(Table2[[#This Row],[Income]]&lt;=100000,"High",
         "Premium")))</f>
        <v>Premium</v>
      </c>
    </row>
    <row r="56" spans="1:12" x14ac:dyDescent="0.35">
      <c r="A56" t="s">
        <v>133</v>
      </c>
      <c r="B56" s="2" t="s">
        <v>134</v>
      </c>
      <c r="C56" s="2" t="s">
        <v>11</v>
      </c>
      <c r="D56" s="3">
        <v>32</v>
      </c>
      <c r="E56" s="2" t="s">
        <v>18</v>
      </c>
      <c r="F56" s="2" t="s">
        <v>19</v>
      </c>
      <c r="G56" s="4">
        <v>168746</v>
      </c>
      <c r="H56" s="2" t="s">
        <v>14</v>
      </c>
      <c r="I56" s="1">
        <v>44916</v>
      </c>
      <c r="J56" t="str">
        <f ca="1">DATEDIF(Table2[[#This Row],[Join_Date]], TODAY(), "Y") &amp; "yrs"</f>
        <v>3yrs</v>
      </c>
      <c r="K56" t="str">
        <f>IF(Table2[[#This Row],[Age]]&lt;=19,"Teen",
   IF(Table2[[#This Row],[Age]]&lt;=35,"Young Adult",
      IF(Table2[[#This Row],[Age]]&lt;=55,"Middle-Age",
         "Old")))</f>
        <v>Young Adult</v>
      </c>
      <c r="L56" t="str">
        <f>IF(Table2[[#This Row],[Income]]&lt;=30000,"Low",
   IF(Table2[[#This Row],[Income]]&lt;=60000,"Medium",
      IF(Table2[[#This Row],[Income]]&lt;=100000,"High",
         "Premium")))</f>
        <v>Premium</v>
      </c>
    </row>
    <row r="57" spans="1:12" x14ac:dyDescent="0.35">
      <c r="A57" t="s">
        <v>135</v>
      </c>
      <c r="B57" s="2" t="s">
        <v>136</v>
      </c>
      <c r="C57" s="2" t="s">
        <v>17</v>
      </c>
      <c r="D57" s="3">
        <v>45</v>
      </c>
      <c r="E57" s="2" t="s">
        <v>18</v>
      </c>
      <c r="F57" s="2" t="s">
        <v>37</v>
      </c>
      <c r="G57" s="4">
        <v>103560</v>
      </c>
      <c r="H57" s="2" t="s">
        <v>14</v>
      </c>
      <c r="I57" s="1">
        <v>44711</v>
      </c>
      <c r="J57" t="str">
        <f ca="1">DATEDIF(Table2[[#This Row],[Join_Date]], TODAY(), "Y") &amp; "yrs"</f>
        <v>3yrs</v>
      </c>
      <c r="K57" t="str">
        <f>IF(Table2[[#This Row],[Age]]&lt;=19,"Teen",
   IF(Table2[[#This Row],[Age]]&lt;=35,"Young Adult",
      IF(Table2[[#This Row],[Age]]&lt;=55,"Middle-Age",
         "Old")))</f>
        <v>Middle-Age</v>
      </c>
      <c r="L57" t="str">
        <f>IF(Table2[[#This Row],[Income]]&lt;=30000,"Low",
   IF(Table2[[#This Row],[Income]]&lt;=60000,"Medium",
      IF(Table2[[#This Row],[Income]]&lt;=100000,"High",
         "Premium")))</f>
        <v>Premium</v>
      </c>
    </row>
    <row r="58" spans="1:12" x14ac:dyDescent="0.35">
      <c r="A58" t="s">
        <v>137</v>
      </c>
      <c r="B58" s="2" t="s">
        <v>138</v>
      </c>
      <c r="C58" s="2" t="s">
        <v>17</v>
      </c>
      <c r="D58" s="3">
        <v>51</v>
      </c>
      <c r="E58" s="2" t="s">
        <v>18</v>
      </c>
      <c r="F58" s="2" t="s">
        <v>27</v>
      </c>
      <c r="G58" s="4">
        <v>174946</v>
      </c>
      <c r="H58" s="2" t="s">
        <v>20</v>
      </c>
      <c r="I58" s="1">
        <v>43671</v>
      </c>
      <c r="J58" t="str">
        <f ca="1">DATEDIF(Table2[[#This Row],[Join_Date]], TODAY(), "Y") &amp; "yrs"</f>
        <v>6yrs</v>
      </c>
      <c r="K58" t="str">
        <f>IF(Table2[[#This Row],[Age]]&lt;=19,"Teen",
   IF(Table2[[#This Row],[Age]]&lt;=35,"Young Adult",
      IF(Table2[[#This Row],[Age]]&lt;=55,"Middle-Age",
         "Old")))</f>
        <v>Middle-Age</v>
      </c>
      <c r="L58" t="str">
        <f>IF(Table2[[#This Row],[Income]]&lt;=30000,"Low",
   IF(Table2[[#This Row],[Income]]&lt;=60000,"Medium",
      IF(Table2[[#This Row],[Income]]&lt;=100000,"High",
         "Premium")))</f>
        <v>Premium</v>
      </c>
    </row>
    <row r="59" spans="1:12" x14ac:dyDescent="0.35">
      <c r="A59" t="s">
        <v>139</v>
      </c>
      <c r="B59" s="2" t="s">
        <v>140</v>
      </c>
      <c r="C59" s="2" t="s">
        <v>11</v>
      </c>
      <c r="D59" s="3">
        <v>19</v>
      </c>
      <c r="E59" s="2" t="s">
        <v>18</v>
      </c>
      <c r="F59" s="2" t="s">
        <v>23</v>
      </c>
      <c r="G59" s="4">
        <v>63642</v>
      </c>
      <c r="H59" s="2" t="s">
        <v>20</v>
      </c>
      <c r="I59" s="1">
        <v>43622</v>
      </c>
      <c r="J59" t="str">
        <f ca="1">DATEDIF(Table2[[#This Row],[Join_Date]], TODAY(), "Y") &amp; "yrs"</f>
        <v>6yrs</v>
      </c>
      <c r="K59" t="str">
        <f>IF(Table2[[#This Row],[Age]]&lt;=19,"Teen",
   IF(Table2[[#This Row],[Age]]&lt;=35,"Young Adult",
      IF(Table2[[#This Row],[Age]]&lt;=55,"Middle-Age",
         "Old")))</f>
        <v>Teen</v>
      </c>
      <c r="L59" t="str">
        <f>IF(Table2[[#This Row],[Income]]&lt;=30000,"Low",
   IF(Table2[[#This Row],[Income]]&lt;=60000,"Medium",
      IF(Table2[[#This Row],[Income]]&lt;=100000,"High",
         "Premium")))</f>
        <v>High</v>
      </c>
    </row>
    <row r="60" spans="1:12" x14ac:dyDescent="0.35">
      <c r="A60" t="s">
        <v>141</v>
      </c>
      <c r="B60" s="2" t="s">
        <v>142</v>
      </c>
      <c r="C60" s="2" t="s">
        <v>11</v>
      </c>
      <c r="D60" s="3">
        <v>49</v>
      </c>
      <c r="E60" s="2" t="s">
        <v>34</v>
      </c>
      <c r="F60" s="2" t="s">
        <v>37</v>
      </c>
      <c r="G60" s="4">
        <v>85160</v>
      </c>
      <c r="H60" s="2" t="s">
        <v>20</v>
      </c>
      <c r="I60" s="1">
        <v>45360</v>
      </c>
      <c r="J60" t="str">
        <f ca="1">DATEDIF(Table2[[#This Row],[Join_Date]], TODAY(), "Y") &amp; "yrs"</f>
        <v>1yrs</v>
      </c>
      <c r="K60" t="str">
        <f>IF(Table2[[#This Row],[Age]]&lt;=19,"Teen",
   IF(Table2[[#This Row],[Age]]&lt;=35,"Young Adult",
      IF(Table2[[#This Row],[Age]]&lt;=55,"Middle-Age",
         "Old")))</f>
        <v>Middle-Age</v>
      </c>
      <c r="L60" t="str">
        <f>IF(Table2[[#This Row],[Income]]&lt;=30000,"Low",
   IF(Table2[[#This Row],[Income]]&lt;=60000,"Medium",
      IF(Table2[[#This Row],[Income]]&lt;=100000,"High",
         "Premium")))</f>
        <v>High</v>
      </c>
    </row>
    <row r="61" spans="1:12" x14ac:dyDescent="0.35">
      <c r="A61" t="s">
        <v>143</v>
      </c>
      <c r="B61" s="2" t="s">
        <v>144</v>
      </c>
      <c r="C61" s="2" t="s">
        <v>11</v>
      </c>
      <c r="D61" s="3">
        <v>40</v>
      </c>
      <c r="E61" s="2" t="s">
        <v>30</v>
      </c>
      <c r="F61" s="2" t="s">
        <v>13</v>
      </c>
      <c r="G61" s="4">
        <v>37602</v>
      </c>
      <c r="H61" s="2" t="s">
        <v>14</v>
      </c>
      <c r="I61" s="1">
        <v>43415</v>
      </c>
      <c r="J61" t="str">
        <f ca="1">DATEDIF(Table2[[#This Row],[Join_Date]], TODAY(), "Y") &amp; "yrs"</f>
        <v>7yrs</v>
      </c>
      <c r="K61" t="str">
        <f>IF(Table2[[#This Row],[Age]]&lt;=19,"Teen",
   IF(Table2[[#This Row],[Age]]&lt;=35,"Young Adult",
      IF(Table2[[#This Row],[Age]]&lt;=55,"Middle-Age",
         "Old")))</f>
        <v>Middle-Age</v>
      </c>
      <c r="L61" t="str">
        <f>IF(Table2[[#This Row],[Income]]&lt;=30000,"Low",
   IF(Table2[[#This Row],[Income]]&lt;=60000,"Medium",
      IF(Table2[[#This Row],[Income]]&lt;=100000,"High",
         "Premium")))</f>
        <v>Medium</v>
      </c>
    </row>
    <row r="62" spans="1:12" x14ac:dyDescent="0.35">
      <c r="A62" t="s">
        <v>145</v>
      </c>
      <c r="B62" s="2" t="s">
        <v>146</v>
      </c>
      <c r="C62" s="2" t="s">
        <v>11</v>
      </c>
      <c r="D62" s="3">
        <v>39</v>
      </c>
      <c r="E62" s="2" t="s">
        <v>12</v>
      </c>
      <c r="F62" s="2" t="s">
        <v>42</v>
      </c>
      <c r="G62" s="4">
        <v>123320</v>
      </c>
      <c r="H62" s="2" t="s">
        <v>14</v>
      </c>
      <c r="I62" s="1">
        <v>44878</v>
      </c>
      <c r="J62" t="str">
        <f ca="1">DATEDIF(Table2[[#This Row],[Join_Date]], TODAY(), "Y") &amp; "yrs"</f>
        <v>3yrs</v>
      </c>
      <c r="K62" t="str">
        <f>IF(Table2[[#This Row],[Age]]&lt;=19,"Teen",
   IF(Table2[[#This Row],[Age]]&lt;=35,"Young Adult",
      IF(Table2[[#This Row],[Age]]&lt;=55,"Middle-Age",
         "Old")))</f>
        <v>Middle-Age</v>
      </c>
      <c r="L62" t="str">
        <f>IF(Table2[[#This Row],[Income]]&lt;=30000,"Low",
   IF(Table2[[#This Row],[Income]]&lt;=60000,"Medium",
      IF(Table2[[#This Row],[Income]]&lt;=100000,"High",
         "Premium")))</f>
        <v>Premium</v>
      </c>
    </row>
    <row r="63" spans="1:12" x14ac:dyDescent="0.35">
      <c r="A63" t="s">
        <v>147</v>
      </c>
      <c r="B63" s="2" t="s">
        <v>148</v>
      </c>
      <c r="C63" s="2" t="s">
        <v>11</v>
      </c>
      <c r="D63" s="3">
        <v>68</v>
      </c>
      <c r="E63" s="2" t="s">
        <v>34</v>
      </c>
      <c r="F63" s="2" t="s">
        <v>19</v>
      </c>
      <c r="G63" s="4">
        <v>108801</v>
      </c>
      <c r="H63" s="2" t="s">
        <v>20</v>
      </c>
      <c r="I63" s="1">
        <v>45597</v>
      </c>
      <c r="J63" t="str">
        <f ca="1">DATEDIF(Table2[[#This Row],[Join_Date]], TODAY(), "Y") &amp; "yrs"</f>
        <v>1yrs</v>
      </c>
      <c r="K63" t="str">
        <f>IF(Table2[[#This Row],[Age]]&lt;=19,"Teen",
   IF(Table2[[#This Row],[Age]]&lt;=35,"Young Adult",
      IF(Table2[[#This Row],[Age]]&lt;=55,"Middle-Age",
         "Old")))</f>
        <v>Old</v>
      </c>
      <c r="L63" t="str">
        <f>IF(Table2[[#This Row],[Income]]&lt;=30000,"Low",
   IF(Table2[[#This Row],[Income]]&lt;=60000,"Medium",
      IF(Table2[[#This Row],[Income]]&lt;=100000,"High",
         "Premium")))</f>
        <v>Premium</v>
      </c>
    </row>
    <row r="64" spans="1:12" x14ac:dyDescent="0.35">
      <c r="A64" t="s">
        <v>149</v>
      </c>
      <c r="B64" s="2" t="s">
        <v>150</v>
      </c>
      <c r="C64" s="2" t="s">
        <v>11</v>
      </c>
      <c r="D64" s="3">
        <v>42</v>
      </c>
      <c r="E64" s="2" t="s">
        <v>12</v>
      </c>
      <c r="F64" s="2" t="s">
        <v>37</v>
      </c>
      <c r="G64" s="4">
        <v>45931</v>
      </c>
      <c r="H64" s="2" t="s">
        <v>14</v>
      </c>
      <c r="I64" s="1">
        <v>45042</v>
      </c>
      <c r="J64" t="str">
        <f ca="1">DATEDIF(Table2[[#This Row],[Join_Date]], TODAY(), "Y") &amp; "yrs"</f>
        <v>2yrs</v>
      </c>
      <c r="K64" t="str">
        <f>IF(Table2[[#This Row],[Age]]&lt;=19,"Teen",
   IF(Table2[[#This Row],[Age]]&lt;=35,"Young Adult",
      IF(Table2[[#This Row],[Age]]&lt;=55,"Middle-Age",
         "Old")))</f>
        <v>Middle-Age</v>
      </c>
      <c r="L64" t="str">
        <f>IF(Table2[[#This Row],[Income]]&lt;=30000,"Low",
   IF(Table2[[#This Row],[Income]]&lt;=60000,"Medium",
      IF(Table2[[#This Row],[Income]]&lt;=100000,"High",
         "Premium")))</f>
        <v>Medium</v>
      </c>
    </row>
    <row r="65" spans="1:12" x14ac:dyDescent="0.35">
      <c r="A65" t="s">
        <v>151</v>
      </c>
      <c r="B65" s="2" t="s">
        <v>152</v>
      </c>
      <c r="C65" s="2" t="s">
        <v>11</v>
      </c>
      <c r="D65" s="3">
        <v>39</v>
      </c>
      <c r="E65" s="2" t="s">
        <v>30</v>
      </c>
      <c r="F65" s="2" t="s">
        <v>23</v>
      </c>
      <c r="G65" s="4">
        <v>114377</v>
      </c>
      <c r="H65" s="2" t="s">
        <v>14</v>
      </c>
      <c r="I65" s="1">
        <v>44997</v>
      </c>
      <c r="J65" t="str">
        <f ca="1">DATEDIF(Table2[[#This Row],[Join_Date]], TODAY(), "Y") &amp; "yrs"</f>
        <v>2yrs</v>
      </c>
      <c r="K65" t="str">
        <f>IF(Table2[[#This Row],[Age]]&lt;=19,"Teen",
   IF(Table2[[#This Row],[Age]]&lt;=35,"Young Adult",
      IF(Table2[[#This Row],[Age]]&lt;=55,"Middle-Age",
         "Old")))</f>
        <v>Middle-Age</v>
      </c>
      <c r="L65" t="str">
        <f>IF(Table2[[#This Row],[Income]]&lt;=30000,"Low",
   IF(Table2[[#This Row],[Income]]&lt;=60000,"Medium",
      IF(Table2[[#This Row],[Income]]&lt;=100000,"High",
         "Premium")))</f>
        <v>Premium</v>
      </c>
    </row>
    <row r="66" spans="1:12" x14ac:dyDescent="0.35">
      <c r="A66" t="s">
        <v>153</v>
      </c>
      <c r="B66" s="2" t="s">
        <v>154</v>
      </c>
      <c r="C66" s="2" t="s">
        <v>11</v>
      </c>
      <c r="D66" s="3">
        <v>39</v>
      </c>
      <c r="E66" s="2" t="s">
        <v>18</v>
      </c>
      <c r="F66" s="2" t="s">
        <v>13</v>
      </c>
      <c r="G66" s="4">
        <v>49192</v>
      </c>
      <c r="H66" s="2" t="s">
        <v>14</v>
      </c>
      <c r="I66" s="1">
        <v>44119</v>
      </c>
      <c r="J66" t="str">
        <f ca="1">DATEDIF(Table2[[#This Row],[Join_Date]], TODAY(), "Y") &amp; "yrs"</f>
        <v>5yrs</v>
      </c>
      <c r="K66" t="str">
        <f>IF(Table2[[#This Row],[Age]]&lt;=19,"Teen",
   IF(Table2[[#This Row],[Age]]&lt;=35,"Young Adult",
      IF(Table2[[#This Row],[Age]]&lt;=55,"Middle-Age",
         "Old")))</f>
        <v>Middle-Age</v>
      </c>
      <c r="L66" t="str">
        <f>IF(Table2[[#This Row],[Income]]&lt;=30000,"Low",
   IF(Table2[[#This Row],[Income]]&lt;=60000,"Medium",
      IF(Table2[[#This Row],[Income]]&lt;=100000,"High",
         "Premium")))</f>
        <v>Medium</v>
      </c>
    </row>
    <row r="67" spans="1:12" x14ac:dyDescent="0.35">
      <c r="A67" t="s">
        <v>155</v>
      </c>
      <c r="B67" s="2" t="s">
        <v>156</v>
      </c>
      <c r="C67" s="2" t="s">
        <v>17</v>
      </c>
      <c r="D67" s="3">
        <v>66</v>
      </c>
      <c r="E67" s="2" t="s">
        <v>30</v>
      </c>
      <c r="F67" s="2" t="s">
        <v>31</v>
      </c>
      <c r="G67" s="4">
        <v>66542</v>
      </c>
      <c r="H67" s="2" t="s">
        <v>14</v>
      </c>
      <c r="I67" s="1">
        <v>43091</v>
      </c>
      <c r="J67" t="str">
        <f ca="1">DATEDIF(Table2[[#This Row],[Join_Date]], TODAY(), "Y") &amp; "yrs"</f>
        <v>8yrs</v>
      </c>
      <c r="K67" t="str">
        <f>IF(Table2[[#This Row],[Age]]&lt;=19,"Teen",
   IF(Table2[[#This Row],[Age]]&lt;=35,"Young Adult",
      IF(Table2[[#This Row],[Age]]&lt;=55,"Middle-Age",
         "Old")))</f>
        <v>Old</v>
      </c>
      <c r="L67" t="str">
        <f>IF(Table2[[#This Row],[Income]]&lt;=30000,"Low",
   IF(Table2[[#This Row],[Income]]&lt;=60000,"Medium",
      IF(Table2[[#This Row],[Income]]&lt;=100000,"High",
         "Premium")))</f>
        <v>High</v>
      </c>
    </row>
    <row r="68" spans="1:12" x14ac:dyDescent="0.35">
      <c r="A68" t="s">
        <v>157</v>
      </c>
      <c r="B68" s="2" t="s">
        <v>158</v>
      </c>
      <c r="C68" s="2" t="s">
        <v>17</v>
      </c>
      <c r="D68" s="3">
        <v>69</v>
      </c>
      <c r="E68" s="2" t="s">
        <v>34</v>
      </c>
      <c r="F68" s="2" t="s">
        <v>23</v>
      </c>
      <c r="G68" s="4">
        <v>147015</v>
      </c>
      <c r="H68" s="2" t="s">
        <v>14</v>
      </c>
      <c r="I68" s="1">
        <v>44996</v>
      </c>
      <c r="J68" t="str">
        <f ca="1">DATEDIF(Table2[[#This Row],[Join_Date]], TODAY(), "Y") &amp; "yrs"</f>
        <v>2yrs</v>
      </c>
      <c r="K68" t="str">
        <f>IF(Table2[[#This Row],[Age]]&lt;=19,"Teen",
   IF(Table2[[#This Row],[Age]]&lt;=35,"Young Adult",
      IF(Table2[[#This Row],[Age]]&lt;=55,"Middle-Age",
         "Old")))</f>
        <v>Old</v>
      </c>
      <c r="L68" t="str">
        <f>IF(Table2[[#This Row],[Income]]&lt;=30000,"Low",
   IF(Table2[[#This Row],[Income]]&lt;=60000,"Medium",
      IF(Table2[[#This Row],[Income]]&lt;=100000,"High",
         "Premium")))</f>
        <v>Premium</v>
      </c>
    </row>
    <row r="69" spans="1:12" x14ac:dyDescent="0.35">
      <c r="A69" t="s">
        <v>159</v>
      </c>
      <c r="B69" s="2" t="s">
        <v>160</v>
      </c>
      <c r="C69" s="2" t="s">
        <v>11</v>
      </c>
      <c r="D69" s="3">
        <v>59</v>
      </c>
      <c r="E69" s="2" t="s">
        <v>18</v>
      </c>
      <c r="F69" s="2" t="s">
        <v>42</v>
      </c>
      <c r="G69" s="4">
        <v>62520</v>
      </c>
      <c r="H69" s="2" t="s">
        <v>14</v>
      </c>
      <c r="I69" s="1">
        <v>43069</v>
      </c>
      <c r="J69" t="str">
        <f ca="1">DATEDIF(Table2[[#This Row],[Join_Date]], TODAY(), "Y") &amp; "yrs"</f>
        <v>8yrs</v>
      </c>
      <c r="K69" t="str">
        <f>IF(Table2[[#This Row],[Age]]&lt;=19,"Teen",
   IF(Table2[[#This Row],[Age]]&lt;=35,"Young Adult",
      IF(Table2[[#This Row],[Age]]&lt;=55,"Middle-Age",
         "Old")))</f>
        <v>Old</v>
      </c>
      <c r="L69" t="str">
        <f>IF(Table2[[#This Row],[Income]]&lt;=30000,"Low",
   IF(Table2[[#This Row],[Income]]&lt;=60000,"Medium",
      IF(Table2[[#This Row],[Income]]&lt;=100000,"High",
         "Premium")))</f>
        <v>High</v>
      </c>
    </row>
    <row r="70" spans="1:12" x14ac:dyDescent="0.35">
      <c r="A70" t="s">
        <v>161</v>
      </c>
      <c r="B70" s="2" t="s">
        <v>162</v>
      </c>
      <c r="C70" s="2" t="s">
        <v>17</v>
      </c>
      <c r="D70" s="3">
        <v>23</v>
      </c>
      <c r="E70" s="2" t="s">
        <v>34</v>
      </c>
      <c r="F70" s="2" t="s">
        <v>23</v>
      </c>
      <c r="G70" s="4">
        <v>84772</v>
      </c>
      <c r="H70" s="2" t="s">
        <v>14</v>
      </c>
      <c r="I70" s="1">
        <v>43341</v>
      </c>
      <c r="J70" t="str">
        <f ca="1">DATEDIF(Table2[[#This Row],[Join_Date]], TODAY(), "Y") &amp; "yrs"</f>
        <v>7yrs</v>
      </c>
      <c r="K70" t="str">
        <f>IF(Table2[[#This Row],[Age]]&lt;=19,"Teen",
   IF(Table2[[#This Row],[Age]]&lt;=35,"Young Adult",
      IF(Table2[[#This Row],[Age]]&lt;=55,"Middle-Age",
         "Old")))</f>
        <v>Young Adult</v>
      </c>
      <c r="L70" t="str">
        <f>IF(Table2[[#This Row],[Income]]&lt;=30000,"Low",
   IF(Table2[[#This Row],[Income]]&lt;=60000,"Medium",
      IF(Table2[[#This Row],[Income]]&lt;=100000,"High",
         "Premium")))</f>
        <v>High</v>
      </c>
    </row>
    <row r="71" spans="1:12" x14ac:dyDescent="0.35">
      <c r="A71" t="s">
        <v>163</v>
      </c>
      <c r="B71" s="2" t="s">
        <v>164</v>
      </c>
      <c r="C71" s="2" t="s">
        <v>17</v>
      </c>
      <c r="D71" s="3">
        <v>32</v>
      </c>
      <c r="E71" s="2" t="s">
        <v>18</v>
      </c>
      <c r="F71" s="2" t="s">
        <v>13</v>
      </c>
      <c r="G71" s="4">
        <v>70106</v>
      </c>
      <c r="H71" s="2" t="s">
        <v>14</v>
      </c>
      <c r="I71" s="1">
        <v>45477</v>
      </c>
      <c r="J71" t="str">
        <f ca="1">DATEDIF(Table2[[#This Row],[Join_Date]], TODAY(), "Y") &amp; "yrs"</f>
        <v>1yrs</v>
      </c>
      <c r="K71" t="str">
        <f>IF(Table2[[#This Row],[Age]]&lt;=19,"Teen",
   IF(Table2[[#This Row],[Age]]&lt;=35,"Young Adult",
      IF(Table2[[#This Row],[Age]]&lt;=55,"Middle-Age",
         "Old")))</f>
        <v>Young Adult</v>
      </c>
      <c r="L71" t="str">
        <f>IF(Table2[[#This Row],[Income]]&lt;=30000,"Low",
   IF(Table2[[#This Row],[Income]]&lt;=60000,"Medium",
      IF(Table2[[#This Row],[Income]]&lt;=100000,"High",
         "Premium")))</f>
        <v>High</v>
      </c>
    </row>
    <row r="72" spans="1:12" x14ac:dyDescent="0.35">
      <c r="A72" t="s">
        <v>165</v>
      </c>
      <c r="B72" s="2" t="s">
        <v>166</v>
      </c>
      <c r="C72" s="2" t="s">
        <v>17</v>
      </c>
      <c r="D72" s="3">
        <v>71</v>
      </c>
      <c r="E72" s="2" t="s">
        <v>12</v>
      </c>
      <c r="F72" s="2" t="s">
        <v>23</v>
      </c>
      <c r="G72" s="4">
        <v>101121</v>
      </c>
      <c r="H72" s="2" t="s">
        <v>20</v>
      </c>
      <c r="I72" s="1">
        <v>45815</v>
      </c>
      <c r="J72" t="str">
        <f ca="1">DATEDIF(Table2[[#This Row],[Join_Date]], TODAY(), "Y") &amp; "yrs"</f>
        <v>0yrs</v>
      </c>
      <c r="K72" t="str">
        <f>IF(Table2[[#This Row],[Age]]&lt;=19,"Teen",
   IF(Table2[[#This Row],[Age]]&lt;=35,"Young Adult",
      IF(Table2[[#This Row],[Age]]&lt;=55,"Middle-Age",
         "Old")))</f>
        <v>Old</v>
      </c>
      <c r="L72" t="str">
        <f>IF(Table2[[#This Row],[Income]]&lt;=30000,"Low",
   IF(Table2[[#This Row],[Income]]&lt;=60000,"Medium",
      IF(Table2[[#This Row],[Income]]&lt;=100000,"High",
         "Premium")))</f>
        <v>Premium</v>
      </c>
    </row>
    <row r="73" spans="1:12" x14ac:dyDescent="0.35">
      <c r="A73" t="s">
        <v>167</v>
      </c>
      <c r="B73" s="2" t="s">
        <v>168</v>
      </c>
      <c r="C73" s="2" t="s">
        <v>17</v>
      </c>
      <c r="D73" s="3">
        <v>60</v>
      </c>
      <c r="E73" s="2" t="s">
        <v>12</v>
      </c>
      <c r="F73" s="2" t="s">
        <v>13</v>
      </c>
      <c r="G73" s="4">
        <v>45559</v>
      </c>
      <c r="H73" s="2" t="s">
        <v>20</v>
      </c>
      <c r="I73" s="1">
        <v>42457</v>
      </c>
      <c r="J73" t="str">
        <f ca="1">DATEDIF(Table2[[#This Row],[Join_Date]], TODAY(), "Y") &amp; "yrs"</f>
        <v>9yrs</v>
      </c>
      <c r="K73" t="str">
        <f>IF(Table2[[#This Row],[Age]]&lt;=19,"Teen",
   IF(Table2[[#This Row],[Age]]&lt;=35,"Young Adult",
      IF(Table2[[#This Row],[Age]]&lt;=55,"Middle-Age",
         "Old")))</f>
        <v>Old</v>
      </c>
      <c r="L73" t="str">
        <f>IF(Table2[[#This Row],[Income]]&lt;=30000,"Low",
   IF(Table2[[#This Row],[Income]]&lt;=60000,"Medium",
      IF(Table2[[#This Row],[Income]]&lt;=100000,"High",
         "Premium")))</f>
        <v>Medium</v>
      </c>
    </row>
    <row r="74" spans="1:12" x14ac:dyDescent="0.35">
      <c r="A74" t="s">
        <v>169</v>
      </c>
      <c r="B74" s="2" t="s">
        <v>170</v>
      </c>
      <c r="C74" s="2" t="s">
        <v>11</v>
      </c>
      <c r="D74" s="3">
        <v>54</v>
      </c>
      <c r="E74" s="2" t="s">
        <v>12</v>
      </c>
      <c r="F74" s="2" t="s">
        <v>37</v>
      </c>
      <c r="G74" s="4">
        <v>125595</v>
      </c>
      <c r="H74" s="2" t="s">
        <v>20</v>
      </c>
      <c r="I74" s="1">
        <v>43929</v>
      </c>
      <c r="J74" t="str">
        <f ca="1">DATEDIF(Table2[[#This Row],[Join_Date]], TODAY(), "Y") &amp; "yrs"</f>
        <v>5yrs</v>
      </c>
      <c r="K74" t="str">
        <f>IF(Table2[[#This Row],[Age]]&lt;=19,"Teen",
   IF(Table2[[#This Row],[Age]]&lt;=35,"Young Adult",
      IF(Table2[[#This Row],[Age]]&lt;=55,"Middle-Age",
         "Old")))</f>
        <v>Middle-Age</v>
      </c>
      <c r="L74" t="str">
        <f>IF(Table2[[#This Row],[Income]]&lt;=30000,"Low",
   IF(Table2[[#This Row],[Income]]&lt;=60000,"Medium",
      IF(Table2[[#This Row],[Income]]&lt;=100000,"High",
         "Premium")))</f>
        <v>Premium</v>
      </c>
    </row>
    <row r="75" spans="1:12" x14ac:dyDescent="0.35">
      <c r="A75" t="s">
        <v>171</v>
      </c>
      <c r="B75" s="2" t="s">
        <v>172</v>
      </c>
      <c r="C75" s="2" t="s">
        <v>17</v>
      </c>
      <c r="D75" s="3">
        <v>50</v>
      </c>
      <c r="E75" s="2" t="s">
        <v>30</v>
      </c>
      <c r="F75" s="2" t="s">
        <v>13</v>
      </c>
      <c r="G75" s="4">
        <v>53742</v>
      </c>
      <c r="H75" s="2" t="s">
        <v>20</v>
      </c>
      <c r="I75" s="1">
        <v>45677</v>
      </c>
      <c r="J75" t="str">
        <f ca="1">DATEDIF(Table2[[#This Row],[Join_Date]], TODAY(), "Y") &amp; "yrs"</f>
        <v>1yrs</v>
      </c>
      <c r="K75" t="str">
        <f>IF(Table2[[#This Row],[Age]]&lt;=19,"Teen",
   IF(Table2[[#This Row],[Age]]&lt;=35,"Young Adult",
      IF(Table2[[#This Row],[Age]]&lt;=55,"Middle-Age",
         "Old")))</f>
        <v>Middle-Age</v>
      </c>
      <c r="L75" t="str">
        <f>IF(Table2[[#This Row],[Income]]&lt;=30000,"Low",
   IF(Table2[[#This Row],[Income]]&lt;=60000,"Medium",
      IF(Table2[[#This Row],[Income]]&lt;=100000,"High",
         "Premium")))</f>
        <v>Medium</v>
      </c>
    </row>
    <row r="76" spans="1:12" x14ac:dyDescent="0.35">
      <c r="A76" t="s">
        <v>173</v>
      </c>
      <c r="B76" s="2" t="s">
        <v>174</v>
      </c>
      <c r="C76" s="2" t="s">
        <v>11</v>
      </c>
      <c r="D76" s="3">
        <v>25</v>
      </c>
      <c r="E76" s="2" t="s">
        <v>34</v>
      </c>
      <c r="F76" s="2" t="s">
        <v>13</v>
      </c>
      <c r="G76" s="4">
        <v>89669</v>
      </c>
      <c r="H76" s="2" t="s">
        <v>24</v>
      </c>
      <c r="I76" s="1">
        <v>43309</v>
      </c>
      <c r="J76" t="str">
        <f ca="1">DATEDIF(Table2[[#This Row],[Join_Date]], TODAY(), "Y") &amp; "yrs"</f>
        <v>7yrs</v>
      </c>
      <c r="K76" t="str">
        <f>IF(Table2[[#This Row],[Age]]&lt;=19,"Teen",
   IF(Table2[[#This Row],[Age]]&lt;=35,"Young Adult",
      IF(Table2[[#This Row],[Age]]&lt;=55,"Middle-Age",
         "Old")))</f>
        <v>Young Adult</v>
      </c>
      <c r="L76" t="str">
        <f>IF(Table2[[#This Row],[Income]]&lt;=30000,"Low",
   IF(Table2[[#This Row],[Income]]&lt;=60000,"Medium",
      IF(Table2[[#This Row],[Income]]&lt;=100000,"High",
         "Premium")))</f>
        <v>High</v>
      </c>
    </row>
    <row r="77" spans="1:12" x14ac:dyDescent="0.35">
      <c r="A77" t="s">
        <v>175</v>
      </c>
      <c r="B77" s="2" t="s">
        <v>176</v>
      </c>
      <c r="C77" s="2" t="s">
        <v>17</v>
      </c>
      <c r="D77" s="3">
        <v>70</v>
      </c>
      <c r="E77" s="2" t="s">
        <v>30</v>
      </c>
      <c r="F77" s="2" t="s">
        <v>19</v>
      </c>
      <c r="G77" s="4">
        <v>172826</v>
      </c>
      <c r="H77" s="2" t="s">
        <v>14</v>
      </c>
      <c r="I77" s="1">
        <v>42917</v>
      </c>
      <c r="J77" t="str">
        <f ca="1">DATEDIF(Table2[[#This Row],[Join_Date]], TODAY(), "Y") &amp; "yrs"</f>
        <v>8yrs</v>
      </c>
      <c r="K77" t="str">
        <f>IF(Table2[[#This Row],[Age]]&lt;=19,"Teen",
   IF(Table2[[#This Row],[Age]]&lt;=35,"Young Adult",
      IF(Table2[[#This Row],[Age]]&lt;=55,"Middle-Age",
         "Old")))</f>
        <v>Old</v>
      </c>
      <c r="L77" t="str">
        <f>IF(Table2[[#This Row],[Income]]&lt;=30000,"Low",
   IF(Table2[[#This Row],[Income]]&lt;=60000,"Medium",
      IF(Table2[[#This Row],[Income]]&lt;=100000,"High",
         "Premium")))</f>
        <v>Premium</v>
      </c>
    </row>
    <row r="78" spans="1:12" x14ac:dyDescent="0.35">
      <c r="A78" t="s">
        <v>177</v>
      </c>
      <c r="B78" s="2" t="s">
        <v>178</v>
      </c>
      <c r="C78" s="2" t="s">
        <v>17</v>
      </c>
      <c r="D78" s="3">
        <v>61</v>
      </c>
      <c r="E78" s="2" t="s">
        <v>12</v>
      </c>
      <c r="F78" s="2" t="s">
        <v>13</v>
      </c>
      <c r="G78" s="4">
        <v>155044</v>
      </c>
      <c r="H78" s="2" t="s">
        <v>14</v>
      </c>
      <c r="I78" s="1">
        <v>44584</v>
      </c>
      <c r="J78" t="str">
        <f ca="1">DATEDIF(Table2[[#This Row],[Join_Date]], TODAY(), "Y") &amp; "yrs"</f>
        <v>3yrs</v>
      </c>
      <c r="K78" t="str">
        <f>IF(Table2[[#This Row],[Age]]&lt;=19,"Teen",
   IF(Table2[[#This Row],[Age]]&lt;=35,"Young Adult",
      IF(Table2[[#This Row],[Age]]&lt;=55,"Middle-Age",
         "Old")))</f>
        <v>Old</v>
      </c>
      <c r="L78" t="str">
        <f>IF(Table2[[#This Row],[Income]]&lt;=30000,"Low",
   IF(Table2[[#This Row],[Income]]&lt;=60000,"Medium",
      IF(Table2[[#This Row],[Income]]&lt;=100000,"High",
         "Premium")))</f>
        <v>Premium</v>
      </c>
    </row>
    <row r="79" spans="1:12" x14ac:dyDescent="0.35">
      <c r="A79" t="s">
        <v>179</v>
      </c>
      <c r="B79" s="2" t="s">
        <v>180</v>
      </c>
      <c r="C79" s="2" t="s">
        <v>17</v>
      </c>
      <c r="D79" s="3">
        <v>61</v>
      </c>
      <c r="E79" s="2" t="s">
        <v>34</v>
      </c>
      <c r="F79" s="2" t="s">
        <v>13</v>
      </c>
      <c r="G79" s="4">
        <v>90831</v>
      </c>
      <c r="H79" s="2" t="s">
        <v>14</v>
      </c>
      <c r="I79" s="1">
        <v>43302</v>
      </c>
      <c r="J79" t="str">
        <f ca="1">DATEDIF(Table2[[#This Row],[Join_Date]], TODAY(), "Y") &amp; "yrs"</f>
        <v>7yrs</v>
      </c>
      <c r="K79" t="str">
        <f>IF(Table2[[#This Row],[Age]]&lt;=19,"Teen",
   IF(Table2[[#This Row],[Age]]&lt;=35,"Young Adult",
      IF(Table2[[#This Row],[Age]]&lt;=55,"Middle-Age",
         "Old")))</f>
        <v>Old</v>
      </c>
      <c r="L79" t="str">
        <f>IF(Table2[[#This Row],[Income]]&lt;=30000,"Low",
   IF(Table2[[#This Row],[Income]]&lt;=60000,"Medium",
      IF(Table2[[#This Row],[Income]]&lt;=100000,"High",
         "Premium")))</f>
        <v>High</v>
      </c>
    </row>
    <row r="80" spans="1:12" x14ac:dyDescent="0.35">
      <c r="A80" t="s">
        <v>181</v>
      </c>
      <c r="B80" s="2" t="s">
        <v>182</v>
      </c>
      <c r="C80" s="2" t="s">
        <v>11</v>
      </c>
      <c r="D80" s="3">
        <v>22</v>
      </c>
      <c r="E80" s="2" t="s">
        <v>12</v>
      </c>
      <c r="F80" s="2" t="s">
        <v>31</v>
      </c>
      <c r="G80" s="4">
        <v>132217</v>
      </c>
      <c r="H80" s="2" t="s">
        <v>20</v>
      </c>
      <c r="I80" s="1">
        <v>44565</v>
      </c>
      <c r="J80" t="str">
        <f ca="1">DATEDIF(Table2[[#This Row],[Join_Date]], TODAY(), "Y") &amp; "yrs"</f>
        <v>4yrs</v>
      </c>
      <c r="K80" t="str">
        <f>IF(Table2[[#This Row],[Age]]&lt;=19,"Teen",
   IF(Table2[[#This Row],[Age]]&lt;=35,"Young Adult",
      IF(Table2[[#This Row],[Age]]&lt;=55,"Middle-Age",
         "Old")))</f>
        <v>Young Adult</v>
      </c>
      <c r="L80" t="str">
        <f>IF(Table2[[#This Row],[Income]]&lt;=30000,"Low",
   IF(Table2[[#This Row],[Income]]&lt;=60000,"Medium",
      IF(Table2[[#This Row],[Income]]&lt;=100000,"High",
         "Premium")))</f>
        <v>Premium</v>
      </c>
    </row>
    <row r="81" spans="1:12" x14ac:dyDescent="0.35">
      <c r="A81" t="s">
        <v>183</v>
      </c>
      <c r="B81" s="2" t="s">
        <v>184</v>
      </c>
      <c r="C81" s="2" t="s">
        <v>17</v>
      </c>
      <c r="D81" s="3">
        <v>56</v>
      </c>
      <c r="E81" s="2" t="s">
        <v>30</v>
      </c>
      <c r="F81" s="2" t="s">
        <v>37</v>
      </c>
      <c r="G81" s="4">
        <v>61873</v>
      </c>
      <c r="H81" s="2" t="s">
        <v>20</v>
      </c>
      <c r="I81" s="1">
        <v>43200</v>
      </c>
      <c r="J81" t="str">
        <f ca="1">DATEDIF(Table2[[#This Row],[Join_Date]], TODAY(), "Y") &amp; "yrs"</f>
        <v>7yrs</v>
      </c>
      <c r="K81" t="str">
        <f>IF(Table2[[#This Row],[Age]]&lt;=19,"Teen",
   IF(Table2[[#This Row],[Age]]&lt;=35,"Young Adult",
      IF(Table2[[#This Row],[Age]]&lt;=55,"Middle-Age",
         "Old")))</f>
        <v>Old</v>
      </c>
      <c r="L81" t="str">
        <f>IF(Table2[[#This Row],[Income]]&lt;=30000,"Low",
   IF(Table2[[#This Row],[Income]]&lt;=60000,"Medium",
      IF(Table2[[#This Row],[Income]]&lt;=100000,"High",
         "Premium")))</f>
        <v>High</v>
      </c>
    </row>
    <row r="82" spans="1:12" x14ac:dyDescent="0.35">
      <c r="A82" t="s">
        <v>185</v>
      </c>
      <c r="B82" s="2" t="s">
        <v>186</v>
      </c>
      <c r="C82" s="2" t="s">
        <v>11</v>
      </c>
      <c r="D82" s="3">
        <v>21</v>
      </c>
      <c r="E82" s="2" t="s">
        <v>30</v>
      </c>
      <c r="F82" s="2" t="s">
        <v>42</v>
      </c>
      <c r="G82" s="4">
        <v>126532</v>
      </c>
      <c r="H82" s="2" t="s">
        <v>14</v>
      </c>
      <c r="I82" s="1">
        <v>45011</v>
      </c>
      <c r="J82" t="str">
        <f ca="1">DATEDIF(Table2[[#This Row],[Join_Date]], TODAY(), "Y") &amp; "yrs"</f>
        <v>2yrs</v>
      </c>
      <c r="K82" t="str">
        <f>IF(Table2[[#This Row],[Age]]&lt;=19,"Teen",
   IF(Table2[[#This Row],[Age]]&lt;=35,"Young Adult",
      IF(Table2[[#This Row],[Age]]&lt;=55,"Middle-Age",
         "Old")))</f>
        <v>Young Adult</v>
      </c>
      <c r="L82" t="str">
        <f>IF(Table2[[#This Row],[Income]]&lt;=30000,"Low",
   IF(Table2[[#This Row],[Income]]&lt;=60000,"Medium",
      IF(Table2[[#This Row],[Income]]&lt;=100000,"High",
         "Premium")))</f>
        <v>Premium</v>
      </c>
    </row>
    <row r="83" spans="1:12" x14ac:dyDescent="0.35">
      <c r="A83" t="s">
        <v>187</v>
      </c>
      <c r="B83" s="2" t="s">
        <v>188</v>
      </c>
      <c r="C83" s="2" t="s">
        <v>17</v>
      </c>
      <c r="D83" s="3">
        <v>23</v>
      </c>
      <c r="E83" s="2" t="s">
        <v>30</v>
      </c>
      <c r="F83" s="2" t="s">
        <v>19</v>
      </c>
      <c r="G83" s="4">
        <v>146267</v>
      </c>
      <c r="H83" s="2" t="s">
        <v>24</v>
      </c>
      <c r="I83" s="1">
        <v>45791</v>
      </c>
      <c r="J83" t="str">
        <f ca="1">DATEDIF(Table2[[#This Row],[Join_Date]], TODAY(), "Y") &amp; "yrs"</f>
        <v>0yrs</v>
      </c>
      <c r="K83" t="str">
        <f>IF(Table2[[#This Row],[Age]]&lt;=19,"Teen",
   IF(Table2[[#This Row],[Age]]&lt;=35,"Young Adult",
      IF(Table2[[#This Row],[Age]]&lt;=55,"Middle-Age",
         "Old")))</f>
        <v>Young Adult</v>
      </c>
      <c r="L83" t="str">
        <f>IF(Table2[[#This Row],[Income]]&lt;=30000,"Low",
   IF(Table2[[#This Row],[Income]]&lt;=60000,"Medium",
      IF(Table2[[#This Row],[Income]]&lt;=100000,"High",
         "Premium")))</f>
        <v>Premium</v>
      </c>
    </row>
    <row r="84" spans="1:12" x14ac:dyDescent="0.35">
      <c r="A84" t="s">
        <v>189</v>
      </c>
      <c r="B84" s="2" t="s">
        <v>190</v>
      </c>
      <c r="C84" s="2" t="s">
        <v>11</v>
      </c>
      <c r="D84" s="3">
        <v>62</v>
      </c>
      <c r="E84" s="2" t="s">
        <v>12</v>
      </c>
      <c r="F84" s="2" t="s">
        <v>31</v>
      </c>
      <c r="G84" s="4">
        <v>160975</v>
      </c>
      <c r="H84" s="2" t="s">
        <v>14</v>
      </c>
      <c r="I84" s="1">
        <v>44302</v>
      </c>
      <c r="J84" t="str">
        <f ca="1">DATEDIF(Table2[[#This Row],[Join_Date]], TODAY(), "Y") &amp; "yrs"</f>
        <v>4yrs</v>
      </c>
      <c r="K84" t="str">
        <f>IF(Table2[[#This Row],[Age]]&lt;=19,"Teen",
   IF(Table2[[#This Row],[Age]]&lt;=35,"Young Adult",
      IF(Table2[[#This Row],[Age]]&lt;=55,"Middle-Age",
         "Old")))</f>
        <v>Old</v>
      </c>
      <c r="L84" t="str">
        <f>IF(Table2[[#This Row],[Income]]&lt;=30000,"Low",
   IF(Table2[[#This Row],[Income]]&lt;=60000,"Medium",
      IF(Table2[[#This Row],[Income]]&lt;=100000,"High",
         "Premium")))</f>
        <v>Premium</v>
      </c>
    </row>
    <row r="85" spans="1:12" x14ac:dyDescent="0.35">
      <c r="A85" t="s">
        <v>191</v>
      </c>
      <c r="B85" s="2" t="s">
        <v>192</v>
      </c>
      <c r="C85" s="2" t="s">
        <v>17</v>
      </c>
      <c r="D85" s="3">
        <v>49</v>
      </c>
      <c r="E85" s="2" t="s">
        <v>34</v>
      </c>
      <c r="F85" s="2" t="s">
        <v>27</v>
      </c>
      <c r="G85" s="4">
        <v>154092</v>
      </c>
      <c r="H85" s="2" t="s">
        <v>24</v>
      </c>
      <c r="I85" s="1">
        <v>44288</v>
      </c>
      <c r="J85" t="str">
        <f ca="1">DATEDIF(Table2[[#This Row],[Join_Date]], TODAY(), "Y") &amp; "yrs"</f>
        <v>4yrs</v>
      </c>
      <c r="K85" t="str">
        <f>IF(Table2[[#This Row],[Age]]&lt;=19,"Teen",
   IF(Table2[[#This Row],[Age]]&lt;=35,"Young Adult",
      IF(Table2[[#This Row],[Age]]&lt;=55,"Middle-Age",
         "Old")))</f>
        <v>Middle-Age</v>
      </c>
      <c r="L85" t="str">
        <f>IF(Table2[[#This Row],[Income]]&lt;=30000,"Low",
   IF(Table2[[#This Row],[Income]]&lt;=60000,"Medium",
      IF(Table2[[#This Row],[Income]]&lt;=100000,"High",
         "Premium")))</f>
        <v>Premium</v>
      </c>
    </row>
    <row r="86" spans="1:12" x14ac:dyDescent="0.35">
      <c r="A86" t="s">
        <v>193</v>
      </c>
      <c r="B86" s="2" t="s">
        <v>194</v>
      </c>
      <c r="C86" s="2" t="s">
        <v>11</v>
      </c>
      <c r="D86" s="3">
        <v>69</v>
      </c>
      <c r="E86" s="2" t="s">
        <v>34</v>
      </c>
      <c r="F86" s="2" t="s">
        <v>37</v>
      </c>
      <c r="G86" s="4">
        <v>61755</v>
      </c>
      <c r="H86" s="2" t="s">
        <v>14</v>
      </c>
      <c r="I86" s="1">
        <v>43838</v>
      </c>
      <c r="J86" t="str">
        <f ca="1">DATEDIF(Table2[[#This Row],[Join_Date]], TODAY(), "Y") &amp; "yrs"</f>
        <v>6yrs</v>
      </c>
      <c r="K86" t="str">
        <f>IF(Table2[[#This Row],[Age]]&lt;=19,"Teen",
   IF(Table2[[#This Row],[Age]]&lt;=35,"Young Adult",
      IF(Table2[[#This Row],[Age]]&lt;=55,"Middle-Age",
         "Old")))</f>
        <v>Old</v>
      </c>
      <c r="L86" t="str">
        <f>IF(Table2[[#This Row],[Income]]&lt;=30000,"Low",
   IF(Table2[[#This Row],[Income]]&lt;=60000,"Medium",
      IF(Table2[[#This Row],[Income]]&lt;=100000,"High",
         "Premium")))</f>
        <v>High</v>
      </c>
    </row>
    <row r="87" spans="1:12" x14ac:dyDescent="0.35">
      <c r="A87" t="s">
        <v>195</v>
      </c>
      <c r="B87" s="2" t="s">
        <v>196</v>
      </c>
      <c r="C87" s="2" t="s">
        <v>11</v>
      </c>
      <c r="D87" s="3">
        <v>47</v>
      </c>
      <c r="E87" s="2" t="s">
        <v>12</v>
      </c>
      <c r="F87" s="2" t="s">
        <v>37</v>
      </c>
      <c r="G87" s="4">
        <v>105956</v>
      </c>
      <c r="H87" s="2" t="s">
        <v>14</v>
      </c>
      <c r="I87" s="1">
        <v>44285</v>
      </c>
      <c r="J87" t="str">
        <f ca="1">DATEDIF(Table2[[#This Row],[Join_Date]], TODAY(), "Y") &amp; "yrs"</f>
        <v>4yrs</v>
      </c>
      <c r="K87" t="str">
        <f>IF(Table2[[#This Row],[Age]]&lt;=19,"Teen",
   IF(Table2[[#This Row],[Age]]&lt;=35,"Young Adult",
      IF(Table2[[#This Row],[Age]]&lt;=55,"Middle-Age",
         "Old")))</f>
        <v>Middle-Age</v>
      </c>
      <c r="L87" t="str">
        <f>IF(Table2[[#This Row],[Income]]&lt;=30000,"Low",
   IF(Table2[[#This Row],[Income]]&lt;=60000,"Medium",
      IF(Table2[[#This Row],[Income]]&lt;=100000,"High",
         "Premium")))</f>
        <v>Premium</v>
      </c>
    </row>
    <row r="88" spans="1:12" x14ac:dyDescent="0.35">
      <c r="A88" t="s">
        <v>197</v>
      </c>
      <c r="B88" s="2" t="s">
        <v>198</v>
      </c>
      <c r="C88" s="2" t="s">
        <v>17</v>
      </c>
      <c r="D88" s="3">
        <v>64</v>
      </c>
      <c r="E88" s="2" t="s">
        <v>34</v>
      </c>
      <c r="F88" s="2" t="s">
        <v>27</v>
      </c>
      <c r="G88" s="4">
        <v>106988</v>
      </c>
      <c r="H88" s="2" t="s">
        <v>14</v>
      </c>
      <c r="I88" s="1">
        <v>45811</v>
      </c>
      <c r="J88" t="str">
        <f ca="1">DATEDIF(Table2[[#This Row],[Join_Date]], TODAY(), "Y") &amp; "yrs"</f>
        <v>0yrs</v>
      </c>
      <c r="K88" t="str">
        <f>IF(Table2[[#This Row],[Age]]&lt;=19,"Teen",
   IF(Table2[[#This Row],[Age]]&lt;=35,"Young Adult",
      IF(Table2[[#This Row],[Age]]&lt;=55,"Middle-Age",
         "Old")))</f>
        <v>Old</v>
      </c>
      <c r="L88" t="str">
        <f>IF(Table2[[#This Row],[Income]]&lt;=30000,"Low",
   IF(Table2[[#This Row],[Income]]&lt;=60000,"Medium",
      IF(Table2[[#This Row],[Income]]&lt;=100000,"High",
         "Premium")))</f>
        <v>Premium</v>
      </c>
    </row>
    <row r="89" spans="1:12" x14ac:dyDescent="0.35">
      <c r="A89" t="s">
        <v>199</v>
      </c>
      <c r="B89" s="2" t="s">
        <v>200</v>
      </c>
      <c r="C89" s="2" t="s">
        <v>11</v>
      </c>
      <c r="D89" s="3">
        <v>52</v>
      </c>
      <c r="E89" s="2" t="s">
        <v>12</v>
      </c>
      <c r="F89" s="2" t="s">
        <v>42</v>
      </c>
      <c r="G89" s="4">
        <v>65648</v>
      </c>
      <c r="H89" s="2" t="s">
        <v>14</v>
      </c>
      <c r="I89" s="1">
        <v>43744</v>
      </c>
      <c r="J89" t="str">
        <f ca="1">DATEDIF(Table2[[#This Row],[Join_Date]], TODAY(), "Y") &amp; "yrs"</f>
        <v>6yrs</v>
      </c>
      <c r="K89" t="str">
        <f>IF(Table2[[#This Row],[Age]]&lt;=19,"Teen",
   IF(Table2[[#This Row],[Age]]&lt;=35,"Young Adult",
      IF(Table2[[#This Row],[Age]]&lt;=55,"Middle-Age",
         "Old")))</f>
        <v>Middle-Age</v>
      </c>
      <c r="L89" t="str">
        <f>IF(Table2[[#This Row],[Income]]&lt;=30000,"Low",
   IF(Table2[[#This Row],[Income]]&lt;=60000,"Medium",
      IF(Table2[[#This Row],[Income]]&lt;=100000,"High",
         "Premium")))</f>
        <v>High</v>
      </c>
    </row>
    <row r="90" spans="1:12" x14ac:dyDescent="0.35">
      <c r="A90" t="s">
        <v>201</v>
      </c>
      <c r="B90" s="2" t="s">
        <v>202</v>
      </c>
      <c r="C90" s="2" t="s">
        <v>17</v>
      </c>
      <c r="D90" s="3">
        <v>72</v>
      </c>
      <c r="E90" s="2" t="s">
        <v>34</v>
      </c>
      <c r="F90" s="2" t="s">
        <v>13</v>
      </c>
      <c r="G90" s="4">
        <v>145991</v>
      </c>
      <c r="H90" s="2" t="s">
        <v>14</v>
      </c>
      <c r="I90" s="1">
        <v>44205</v>
      </c>
      <c r="J90" t="str">
        <f ca="1">DATEDIF(Table2[[#This Row],[Join_Date]], TODAY(), "Y") &amp; "yrs"</f>
        <v>5yrs</v>
      </c>
      <c r="K90" t="str">
        <f>IF(Table2[[#This Row],[Age]]&lt;=19,"Teen",
   IF(Table2[[#This Row],[Age]]&lt;=35,"Young Adult",
      IF(Table2[[#This Row],[Age]]&lt;=55,"Middle-Age",
         "Old")))</f>
        <v>Old</v>
      </c>
      <c r="L90" t="str">
        <f>IF(Table2[[#This Row],[Income]]&lt;=30000,"Low",
   IF(Table2[[#This Row],[Income]]&lt;=60000,"Medium",
      IF(Table2[[#This Row],[Income]]&lt;=100000,"High",
         "Premium")))</f>
        <v>Premium</v>
      </c>
    </row>
    <row r="91" spans="1:12" x14ac:dyDescent="0.35">
      <c r="A91" t="s">
        <v>203</v>
      </c>
      <c r="B91" s="2" t="s">
        <v>204</v>
      </c>
      <c r="C91" s="2" t="s">
        <v>17</v>
      </c>
      <c r="D91" s="3">
        <v>57</v>
      </c>
      <c r="E91" s="2" t="s">
        <v>18</v>
      </c>
      <c r="F91" s="2" t="s">
        <v>31</v>
      </c>
      <c r="G91" s="4">
        <v>160588</v>
      </c>
      <c r="H91" s="2" t="s">
        <v>14</v>
      </c>
      <c r="I91" s="1">
        <v>42239</v>
      </c>
      <c r="J91" t="str">
        <f ca="1">DATEDIF(Table2[[#This Row],[Join_Date]], TODAY(), "Y") &amp; "yrs"</f>
        <v>10yrs</v>
      </c>
      <c r="K91" t="str">
        <f>IF(Table2[[#This Row],[Age]]&lt;=19,"Teen",
   IF(Table2[[#This Row],[Age]]&lt;=35,"Young Adult",
      IF(Table2[[#This Row],[Age]]&lt;=55,"Middle-Age",
         "Old")))</f>
        <v>Old</v>
      </c>
      <c r="L91" t="str">
        <f>IF(Table2[[#This Row],[Income]]&lt;=30000,"Low",
   IF(Table2[[#This Row],[Income]]&lt;=60000,"Medium",
      IF(Table2[[#This Row],[Income]]&lt;=100000,"High",
         "Premium")))</f>
        <v>Premium</v>
      </c>
    </row>
    <row r="92" spans="1:12" x14ac:dyDescent="0.35">
      <c r="A92" t="s">
        <v>205</v>
      </c>
      <c r="B92" s="2" t="s">
        <v>206</v>
      </c>
      <c r="C92" s="2" t="s">
        <v>17</v>
      </c>
      <c r="D92" s="3">
        <v>69</v>
      </c>
      <c r="E92" s="2" t="s">
        <v>18</v>
      </c>
      <c r="F92" s="2" t="s">
        <v>23</v>
      </c>
      <c r="G92" s="4">
        <v>135005</v>
      </c>
      <c r="H92" s="2" t="s">
        <v>20</v>
      </c>
      <c r="I92" s="1">
        <v>44775</v>
      </c>
      <c r="J92" t="str">
        <f ca="1">DATEDIF(Table2[[#This Row],[Join_Date]], TODAY(), "Y") &amp; "yrs"</f>
        <v>3yrs</v>
      </c>
      <c r="K92" t="str">
        <f>IF(Table2[[#This Row],[Age]]&lt;=19,"Teen",
   IF(Table2[[#This Row],[Age]]&lt;=35,"Young Adult",
      IF(Table2[[#This Row],[Age]]&lt;=55,"Middle-Age",
         "Old")))</f>
        <v>Old</v>
      </c>
      <c r="L92" t="str">
        <f>IF(Table2[[#This Row],[Income]]&lt;=30000,"Low",
   IF(Table2[[#This Row],[Income]]&lt;=60000,"Medium",
      IF(Table2[[#This Row],[Income]]&lt;=100000,"High",
         "Premium")))</f>
        <v>Premium</v>
      </c>
    </row>
    <row r="93" spans="1:12" x14ac:dyDescent="0.35">
      <c r="A93" t="s">
        <v>207</v>
      </c>
      <c r="B93" s="2" t="s">
        <v>208</v>
      </c>
      <c r="C93" s="2" t="s">
        <v>17</v>
      </c>
      <c r="D93" s="3">
        <v>33</v>
      </c>
      <c r="E93" s="2" t="s">
        <v>30</v>
      </c>
      <c r="F93" s="2" t="s">
        <v>19</v>
      </c>
      <c r="G93" s="4">
        <v>22396</v>
      </c>
      <c r="H93" s="2" t="s">
        <v>14</v>
      </c>
      <c r="I93" s="1">
        <v>42531</v>
      </c>
      <c r="J93" t="str">
        <f ca="1">DATEDIF(Table2[[#This Row],[Join_Date]], TODAY(), "Y") &amp; "yrs"</f>
        <v>9yrs</v>
      </c>
      <c r="K93" t="str">
        <f>IF(Table2[[#This Row],[Age]]&lt;=19,"Teen",
   IF(Table2[[#This Row],[Age]]&lt;=35,"Young Adult",
      IF(Table2[[#This Row],[Age]]&lt;=55,"Middle-Age",
         "Old")))</f>
        <v>Young Adult</v>
      </c>
      <c r="L93" t="str">
        <f>IF(Table2[[#This Row],[Income]]&lt;=30000,"Low",
   IF(Table2[[#This Row],[Income]]&lt;=60000,"Medium",
      IF(Table2[[#This Row],[Income]]&lt;=100000,"High",
         "Premium")))</f>
        <v>Low</v>
      </c>
    </row>
    <row r="94" spans="1:12" x14ac:dyDescent="0.35">
      <c r="A94" t="s">
        <v>209</v>
      </c>
      <c r="B94" s="2" t="s">
        <v>210</v>
      </c>
      <c r="C94" s="2" t="s">
        <v>17</v>
      </c>
      <c r="D94" s="3">
        <v>30</v>
      </c>
      <c r="E94" s="2" t="s">
        <v>18</v>
      </c>
      <c r="F94" s="2" t="s">
        <v>23</v>
      </c>
      <c r="G94" s="4">
        <v>104082</v>
      </c>
      <c r="H94" s="2" t="s">
        <v>14</v>
      </c>
      <c r="I94" s="1">
        <v>43102</v>
      </c>
      <c r="J94" t="str">
        <f ca="1">DATEDIF(Table2[[#This Row],[Join_Date]], TODAY(), "Y") &amp; "yrs"</f>
        <v>8yrs</v>
      </c>
      <c r="K94" t="str">
        <f>IF(Table2[[#This Row],[Age]]&lt;=19,"Teen",
   IF(Table2[[#This Row],[Age]]&lt;=35,"Young Adult",
      IF(Table2[[#This Row],[Age]]&lt;=55,"Middle-Age",
         "Old")))</f>
        <v>Young Adult</v>
      </c>
      <c r="L94" t="str">
        <f>IF(Table2[[#This Row],[Income]]&lt;=30000,"Low",
   IF(Table2[[#This Row],[Income]]&lt;=60000,"Medium",
      IF(Table2[[#This Row],[Income]]&lt;=100000,"High",
         "Premium")))</f>
        <v>Premium</v>
      </c>
    </row>
    <row r="95" spans="1:12" x14ac:dyDescent="0.35">
      <c r="A95" t="s">
        <v>211</v>
      </c>
      <c r="B95" s="2" t="s">
        <v>212</v>
      </c>
      <c r="C95" s="2" t="s">
        <v>17</v>
      </c>
      <c r="D95" s="3">
        <v>67</v>
      </c>
      <c r="E95" s="2" t="s">
        <v>18</v>
      </c>
      <c r="F95" s="2" t="s">
        <v>27</v>
      </c>
      <c r="G95" s="4">
        <v>170201</v>
      </c>
      <c r="H95" s="2" t="s">
        <v>20</v>
      </c>
      <c r="I95" s="1">
        <v>45234</v>
      </c>
      <c r="J95" t="str">
        <f ca="1">DATEDIF(Table2[[#This Row],[Join_Date]], TODAY(), "Y") &amp; "yrs"</f>
        <v>2yrs</v>
      </c>
      <c r="K95" t="str">
        <f>IF(Table2[[#This Row],[Age]]&lt;=19,"Teen",
   IF(Table2[[#This Row],[Age]]&lt;=35,"Young Adult",
      IF(Table2[[#This Row],[Age]]&lt;=55,"Middle-Age",
         "Old")))</f>
        <v>Old</v>
      </c>
      <c r="L95" t="str">
        <f>IF(Table2[[#This Row],[Income]]&lt;=30000,"Low",
   IF(Table2[[#This Row],[Income]]&lt;=60000,"Medium",
      IF(Table2[[#This Row],[Income]]&lt;=100000,"High",
         "Premium")))</f>
        <v>Premium</v>
      </c>
    </row>
    <row r="96" spans="1:12" x14ac:dyDescent="0.35">
      <c r="A96" t="s">
        <v>213</v>
      </c>
      <c r="B96" s="2" t="s">
        <v>214</v>
      </c>
      <c r="C96" s="2" t="s">
        <v>17</v>
      </c>
      <c r="D96" s="3">
        <v>59</v>
      </c>
      <c r="E96" s="2" t="s">
        <v>18</v>
      </c>
      <c r="F96" s="2" t="s">
        <v>37</v>
      </c>
      <c r="G96" s="4">
        <v>148322</v>
      </c>
      <c r="H96" s="2" t="s">
        <v>20</v>
      </c>
      <c r="I96" s="1">
        <v>44381</v>
      </c>
      <c r="J96" t="str">
        <f ca="1">DATEDIF(Table2[[#This Row],[Join_Date]], TODAY(), "Y") &amp; "yrs"</f>
        <v>4yrs</v>
      </c>
      <c r="K96" t="str">
        <f>IF(Table2[[#This Row],[Age]]&lt;=19,"Teen",
   IF(Table2[[#This Row],[Age]]&lt;=35,"Young Adult",
      IF(Table2[[#This Row],[Age]]&lt;=55,"Middle-Age",
         "Old")))</f>
        <v>Old</v>
      </c>
      <c r="L96" t="str">
        <f>IF(Table2[[#This Row],[Income]]&lt;=30000,"Low",
   IF(Table2[[#This Row],[Income]]&lt;=60000,"Medium",
      IF(Table2[[#This Row],[Income]]&lt;=100000,"High",
         "Premium")))</f>
        <v>Premium</v>
      </c>
    </row>
    <row r="97" spans="1:12" x14ac:dyDescent="0.35">
      <c r="A97" t="s">
        <v>215</v>
      </c>
      <c r="B97" s="2" t="s">
        <v>216</v>
      </c>
      <c r="C97" s="2" t="s">
        <v>17</v>
      </c>
      <c r="D97" s="3">
        <v>47</v>
      </c>
      <c r="E97" s="2" t="s">
        <v>12</v>
      </c>
      <c r="F97" s="2" t="s">
        <v>42</v>
      </c>
      <c r="G97" s="4">
        <v>152663</v>
      </c>
      <c r="H97" s="2" t="s">
        <v>14</v>
      </c>
      <c r="I97" s="1">
        <v>42976</v>
      </c>
      <c r="J97" t="str">
        <f ca="1">DATEDIF(Table2[[#This Row],[Join_Date]], TODAY(), "Y") &amp; "yrs"</f>
        <v>8yrs</v>
      </c>
      <c r="K97" t="str">
        <f>IF(Table2[[#This Row],[Age]]&lt;=19,"Teen",
   IF(Table2[[#This Row],[Age]]&lt;=35,"Young Adult",
      IF(Table2[[#This Row],[Age]]&lt;=55,"Middle-Age",
         "Old")))</f>
        <v>Middle-Age</v>
      </c>
      <c r="L97" t="str">
        <f>IF(Table2[[#This Row],[Income]]&lt;=30000,"Low",
   IF(Table2[[#This Row],[Income]]&lt;=60000,"Medium",
      IF(Table2[[#This Row],[Income]]&lt;=100000,"High",
         "Premium")))</f>
        <v>Premium</v>
      </c>
    </row>
    <row r="98" spans="1:12" x14ac:dyDescent="0.35">
      <c r="A98" t="s">
        <v>217</v>
      </c>
      <c r="B98" s="2" t="s">
        <v>218</v>
      </c>
      <c r="C98" s="2" t="s">
        <v>17</v>
      </c>
      <c r="D98" s="3">
        <v>36</v>
      </c>
      <c r="E98" s="2" t="s">
        <v>18</v>
      </c>
      <c r="F98" s="2" t="s">
        <v>37</v>
      </c>
      <c r="G98" s="4">
        <v>31303</v>
      </c>
      <c r="H98" s="2" t="s">
        <v>14</v>
      </c>
      <c r="I98" s="1">
        <v>43091</v>
      </c>
      <c r="J98" t="str">
        <f ca="1">DATEDIF(Table2[[#This Row],[Join_Date]], TODAY(), "Y") &amp; "yrs"</f>
        <v>8yrs</v>
      </c>
      <c r="K98" t="str">
        <f>IF(Table2[[#This Row],[Age]]&lt;=19,"Teen",
   IF(Table2[[#This Row],[Age]]&lt;=35,"Young Adult",
      IF(Table2[[#This Row],[Age]]&lt;=55,"Middle-Age",
         "Old")))</f>
        <v>Middle-Age</v>
      </c>
      <c r="L98" t="str">
        <f>IF(Table2[[#This Row],[Income]]&lt;=30000,"Low",
   IF(Table2[[#This Row],[Income]]&lt;=60000,"Medium",
      IF(Table2[[#This Row],[Income]]&lt;=100000,"High",
         "Premium")))</f>
        <v>Medium</v>
      </c>
    </row>
    <row r="99" spans="1:12" x14ac:dyDescent="0.35">
      <c r="A99" t="s">
        <v>219</v>
      </c>
      <c r="B99" s="2" t="s">
        <v>220</v>
      </c>
      <c r="C99" s="2" t="s">
        <v>17</v>
      </c>
      <c r="D99" s="3">
        <v>34</v>
      </c>
      <c r="E99" s="2" t="s">
        <v>18</v>
      </c>
      <c r="F99" s="2" t="s">
        <v>19</v>
      </c>
      <c r="G99" s="4">
        <v>181633</v>
      </c>
      <c r="H99" s="2" t="s">
        <v>14</v>
      </c>
      <c r="I99" s="1">
        <v>45099</v>
      </c>
      <c r="J99" t="str">
        <f ca="1">DATEDIF(Table2[[#This Row],[Join_Date]], TODAY(), "Y") &amp; "yrs"</f>
        <v>2yrs</v>
      </c>
      <c r="K99" t="str">
        <f>IF(Table2[[#This Row],[Age]]&lt;=19,"Teen",
   IF(Table2[[#This Row],[Age]]&lt;=35,"Young Adult",
      IF(Table2[[#This Row],[Age]]&lt;=55,"Middle-Age",
         "Old")))</f>
        <v>Young Adult</v>
      </c>
      <c r="L99" t="str">
        <f>IF(Table2[[#This Row],[Income]]&lt;=30000,"Low",
   IF(Table2[[#This Row],[Income]]&lt;=60000,"Medium",
      IF(Table2[[#This Row],[Income]]&lt;=100000,"High",
         "Premium")))</f>
        <v>Premium</v>
      </c>
    </row>
    <row r="100" spans="1:12" x14ac:dyDescent="0.35">
      <c r="A100" t="s">
        <v>221</v>
      </c>
      <c r="B100" s="2" t="s">
        <v>222</v>
      </c>
      <c r="C100" s="2" t="s">
        <v>17</v>
      </c>
      <c r="D100" s="3">
        <v>73</v>
      </c>
      <c r="E100" s="2" t="s">
        <v>30</v>
      </c>
      <c r="F100" s="2" t="s">
        <v>37</v>
      </c>
      <c r="G100" s="4">
        <v>91719</v>
      </c>
      <c r="H100" s="2" t="s">
        <v>14</v>
      </c>
      <c r="I100" s="1">
        <v>44154</v>
      </c>
      <c r="J100" t="str">
        <f ca="1">DATEDIF(Table2[[#This Row],[Join_Date]], TODAY(), "Y") &amp; "yrs"</f>
        <v>5yrs</v>
      </c>
      <c r="K100" t="str">
        <f>IF(Table2[[#This Row],[Age]]&lt;=19,"Teen",
   IF(Table2[[#This Row],[Age]]&lt;=35,"Young Adult",
      IF(Table2[[#This Row],[Age]]&lt;=55,"Middle-Age",
         "Old")))</f>
        <v>Old</v>
      </c>
      <c r="L100" t="str">
        <f>IF(Table2[[#This Row],[Income]]&lt;=30000,"Low",
   IF(Table2[[#This Row],[Income]]&lt;=60000,"Medium",
      IF(Table2[[#This Row],[Income]]&lt;=100000,"High",
         "Premium")))</f>
        <v>High</v>
      </c>
    </row>
    <row r="101" spans="1:12" x14ac:dyDescent="0.35">
      <c r="A101" t="s">
        <v>223</v>
      </c>
      <c r="B101" s="2" t="s">
        <v>224</v>
      </c>
      <c r="C101" s="2" t="s">
        <v>11</v>
      </c>
      <c r="D101" s="3">
        <v>36</v>
      </c>
      <c r="E101" s="2" t="s">
        <v>18</v>
      </c>
      <c r="F101" s="2" t="s">
        <v>37</v>
      </c>
      <c r="G101" s="4">
        <v>119616</v>
      </c>
      <c r="H101" s="2" t="s">
        <v>20</v>
      </c>
      <c r="I101" s="1">
        <v>44942</v>
      </c>
      <c r="J101" t="str">
        <f ca="1">DATEDIF(Table2[[#This Row],[Join_Date]], TODAY(), "Y") &amp; "yrs"</f>
        <v>3yrs</v>
      </c>
      <c r="K101" t="str">
        <f>IF(Table2[[#This Row],[Age]]&lt;=19,"Teen",
   IF(Table2[[#This Row],[Age]]&lt;=35,"Young Adult",
      IF(Table2[[#This Row],[Age]]&lt;=55,"Middle-Age",
         "Old")))</f>
        <v>Middle-Age</v>
      </c>
      <c r="L101" t="str">
        <f>IF(Table2[[#This Row],[Income]]&lt;=30000,"Low",
   IF(Table2[[#This Row],[Income]]&lt;=60000,"Medium",
      IF(Table2[[#This Row],[Income]]&lt;=100000,"High",
         "Premium")))</f>
        <v>Premium</v>
      </c>
    </row>
    <row r="102" spans="1:12" x14ac:dyDescent="0.35">
      <c r="A102" t="s">
        <v>225</v>
      </c>
      <c r="B102" s="2" t="s">
        <v>226</v>
      </c>
      <c r="C102" s="2" t="s">
        <v>11</v>
      </c>
      <c r="D102" s="3">
        <v>45</v>
      </c>
      <c r="E102" s="2" t="s">
        <v>18</v>
      </c>
      <c r="F102" s="2" t="s">
        <v>19</v>
      </c>
      <c r="G102" s="4">
        <v>144165</v>
      </c>
      <c r="H102" s="2" t="s">
        <v>14</v>
      </c>
      <c r="I102" s="1">
        <v>44018</v>
      </c>
      <c r="J102" t="str">
        <f ca="1">DATEDIF(Table2[[#This Row],[Join_Date]], TODAY(), "Y") &amp; "yrs"</f>
        <v>5yrs</v>
      </c>
      <c r="K102" t="str">
        <f>IF(Table2[[#This Row],[Age]]&lt;=19,"Teen",
   IF(Table2[[#This Row],[Age]]&lt;=35,"Young Adult",
      IF(Table2[[#This Row],[Age]]&lt;=55,"Middle-Age",
         "Old")))</f>
        <v>Middle-Age</v>
      </c>
      <c r="L102" t="str">
        <f>IF(Table2[[#This Row],[Income]]&lt;=30000,"Low",
   IF(Table2[[#This Row],[Income]]&lt;=60000,"Medium",
      IF(Table2[[#This Row],[Income]]&lt;=100000,"High",
         "Premium")))</f>
        <v>Premium</v>
      </c>
    </row>
    <row r="103" spans="1:12" x14ac:dyDescent="0.35">
      <c r="A103" t="s">
        <v>227</v>
      </c>
      <c r="B103" s="2" t="s">
        <v>228</v>
      </c>
      <c r="C103" s="2" t="s">
        <v>17</v>
      </c>
      <c r="D103" s="3">
        <v>72</v>
      </c>
      <c r="E103" s="2" t="s">
        <v>34</v>
      </c>
      <c r="F103" s="2" t="s">
        <v>31</v>
      </c>
      <c r="G103" s="4">
        <v>106231</v>
      </c>
      <c r="H103" s="2" t="s">
        <v>14</v>
      </c>
      <c r="I103" s="1">
        <v>44560</v>
      </c>
      <c r="J103" t="str">
        <f ca="1">DATEDIF(Table2[[#This Row],[Join_Date]], TODAY(), "Y") &amp; "yrs"</f>
        <v>4yrs</v>
      </c>
      <c r="K103" t="str">
        <f>IF(Table2[[#This Row],[Age]]&lt;=19,"Teen",
   IF(Table2[[#This Row],[Age]]&lt;=35,"Young Adult",
      IF(Table2[[#This Row],[Age]]&lt;=55,"Middle-Age",
         "Old")))</f>
        <v>Old</v>
      </c>
      <c r="L103" t="str">
        <f>IF(Table2[[#This Row],[Income]]&lt;=30000,"Low",
   IF(Table2[[#This Row],[Income]]&lt;=60000,"Medium",
      IF(Table2[[#This Row],[Income]]&lt;=100000,"High",
         "Premium")))</f>
        <v>Premium</v>
      </c>
    </row>
    <row r="104" spans="1:12" x14ac:dyDescent="0.35">
      <c r="A104" t="s">
        <v>229</v>
      </c>
      <c r="B104" s="2" t="s">
        <v>230</v>
      </c>
      <c r="C104" s="2" t="s">
        <v>17</v>
      </c>
      <c r="D104" s="3">
        <v>43</v>
      </c>
      <c r="E104" s="2" t="s">
        <v>30</v>
      </c>
      <c r="F104" s="2" t="s">
        <v>31</v>
      </c>
      <c r="G104" s="4">
        <v>27314</v>
      </c>
      <c r="H104" s="2" t="s">
        <v>20</v>
      </c>
      <c r="I104" s="1">
        <v>44706</v>
      </c>
      <c r="J104" t="str">
        <f ca="1">DATEDIF(Table2[[#This Row],[Join_Date]], TODAY(), "Y") &amp; "yrs"</f>
        <v>3yrs</v>
      </c>
      <c r="K104" t="str">
        <f>IF(Table2[[#This Row],[Age]]&lt;=19,"Teen",
   IF(Table2[[#This Row],[Age]]&lt;=35,"Young Adult",
      IF(Table2[[#This Row],[Age]]&lt;=55,"Middle-Age",
         "Old")))</f>
        <v>Middle-Age</v>
      </c>
      <c r="L104" t="str">
        <f>IF(Table2[[#This Row],[Income]]&lt;=30000,"Low",
   IF(Table2[[#This Row],[Income]]&lt;=60000,"Medium",
      IF(Table2[[#This Row],[Income]]&lt;=100000,"High",
         "Premium")))</f>
        <v>Low</v>
      </c>
    </row>
    <row r="105" spans="1:12" x14ac:dyDescent="0.35">
      <c r="A105" t="s">
        <v>231</v>
      </c>
      <c r="B105" s="2" t="s">
        <v>232</v>
      </c>
      <c r="C105" s="2" t="s">
        <v>17</v>
      </c>
      <c r="D105" s="3">
        <v>54</v>
      </c>
      <c r="E105" s="2" t="s">
        <v>30</v>
      </c>
      <c r="F105" s="2" t="s">
        <v>19</v>
      </c>
      <c r="G105" s="4">
        <v>39623</v>
      </c>
      <c r="H105" s="2" t="s">
        <v>14</v>
      </c>
      <c r="I105" s="1">
        <v>42645</v>
      </c>
      <c r="J105" t="str">
        <f ca="1">DATEDIF(Table2[[#This Row],[Join_Date]], TODAY(), "Y") &amp; "yrs"</f>
        <v>9yrs</v>
      </c>
      <c r="K105" t="str">
        <f>IF(Table2[[#This Row],[Age]]&lt;=19,"Teen",
   IF(Table2[[#This Row],[Age]]&lt;=35,"Young Adult",
      IF(Table2[[#This Row],[Age]]&lt;=55,"Middle-Age",
         "Old")))</f>
        <v>Middle-Age</v>
      </c>
      <c r="L105" t="str">
        <f>IF(Table2[[#This Row],[Income]]&lt;=30000,"Low",
   IF(Table2[[#This Row],[Income]]&lt;=60000,"Medium",
      IF(Table2[[#This Row],[Income]]&lt;=100000,"High",
         "Premium")))</f>
        <v>Medium</v>
      </c>
    </row>
    <row r="106" spans="1:12" x14ac:dyDescent="0.35">
      <c r="A106" t="s">
        <v>233</v>
      </c>
      <c r="B106" s="2" t="s">
        <v>234</v>
      </c>
      <c r="C106" s="2" t="s">
        <v>17</v>
      </c>
      <c r="D106" s="3">
        <v>43</v>
      </c>
      <c r="E106" s="2" t="s">
        <v>30</v>
      </c>
      <c r="F106" s="2" t="s">
        <v>42</v>
      </c>
      <c r="G106" s="4">
        <v>125228</v>
      </c>
      <c r="H106" s="2" t="s">
        <v>14</v>
      </c>
      <c r="I106" s="1">
        <v>45748</v>
      </c>
      <c r="J106" t="str">
        <f ca="1">DATEDIF(Table2[[#This Row],[Join_Date]], TODAY(), "Y") &amp; "yrs"</f>
        <v>0yrs</v>
      </c>
      <c r="K106" t="str">
        <f>IF(Table2[[#This Row],[Age]]&lt;=19,"Teen",
   IF(Table2[[#This Row],[Age]]&lt;=35,"Young Adult",
      IF(Table2[[#This Row],[Age]]&lt;=55,"Middle-Age",
         "Old")))</f>
        <v>Middle-Age</v>
      </c>
      <c r="L106" t="str">
        <f>IF(Table2[[#This Row],[Income]]&lt;=30000,"Low",
   IF(Table2[[#This Row],[Income]]&lt;=60000,"Medium",
      IF(Table2[[#This Row],[Income]]&lt;=100000,"High",
         "Premium")))</f>
        <v>Premium</v>
      </c>
    </row>
    <row r="107" spans="1:12" x14ac:dyDescent="0.35">
      <c r="A107" t="s">
        <v>235</v>
      </c>
      <c r="B107" s="2" t="s">
        <v>236</v>
      </c>
      <c r="C107" s="2" t="s">
        <v>17</v>
      </c>
      <c r="D107" s="3">
        <v>70</v>
      </c>
      <c r="E107" s="2" t="s">
        <v>30</v>
      </c>
      <c r="F107" s="2" t="s">
        <v>27</v>
      </c>
      <c r="G107" s="4">
        <v>184202</v>
      </c>
      <c r="H107" s="2" t="s">
        <v>14</v>
      </c>
      <c r="I107" s="1">
        <v>42940</v>
      </c>
      <c r="J107" t="str">
        <f ca="1">DATEDIF(Table2[[#This Row],[Join_Date]], TODAY(), "Y") &amp; "yrs"</f>
        <v>8yrs</v>
      </c>
      <c r="K107" t="str">
        <f>IF(Table2[[#This Row],[Age]]&lt;=19,"Teen",
   IF(Table2[[#This Row],[Age]]&lt;=35,"Young Adult",
      IF(Table2[[#This Row],[Age]]&lt;=55,"Middle-Age",
         "Old")))</f>
        <v>Old</v>
      </c>
      <c r="L107" t="str">
        <f>IF(Table2[[#This Row],[Income]]&lt;=30000,"Low",
   IF(Table2[[#This Row],[Income]]&lt;=60000,"Medium",
      IF(Table2[[#This Row],[Income]]&lt;=100000,"High",
         "Premium")))</f>
        <v>Premium</v>
      </c>
    </row>
    <row r="108" spans="1:12" x14ac:dyDescent="0.35">
      <c r="A108" t="s">
        <v>237</v>
      </c>
      <c r="B108" s="2" t="s">
        <v>238</v>
      </c>
      <c r="C108" s="2" t="s">
        <v>17</v>
      </c>
      <c r="D108" s="3">
        <v>40</v>
      </c>
      <c r="E108" s="2" t="s">
        <v>30</v>
      </c>
      <c r="F108" s="2" t="s">
        <v>37</v>
      </c>
      <c r="G108" s="4">
        <v>117624</v>
      </c>
      <c r="H108" s="2" t="s">
        <v>24</v>
      </c>
      <c r="I108" s="1">
        <v>45720</v>
      </c>
      <c r="J108" t="str">
        <f ca="1">DATEDIF(Table2[[#This Row],[Join_Date]], TODAY(), "Y") &amp; "yrs"</f>
        <v>0yrs</v>
      </c>
      <c r="K108" t="str">
        <f>IF(Table2[[#This Row],[Age]]&lt;=19,"Teen",
   IF(Table2[[#This Row],[Age]]&lt;=35,"Young Adult",
      IF(Table2[[#This Row],[Age]]&lt;=55,"Middle-Age",
         "Old")))</f>
        <v>Middle-Age</v>
      </c>
      <c r="L108" t="str">
        <f>IF(Table2[[#This Row],[Income]]&lt;=30000,"Low",
   IF(Table2[[#This Row],[Income]]&lt;=60000,"Medium",
      IF(Table2[[#This Row],[Income]]&lt;=100000,"High",
         "Premium")))</f>
        <v>Premium</v>
      </c>
    </row>
    <row r="109" spans="1:12" x14ac:dyDescent="0.35">
      <c r="A109" t="s">
        <v>239</v>
      </c>
      <c r="B109" s="2" t="s">
        <v>240</v>
      </c>
      <c r="C109" s="2" t="s">
        <v>17</v>
      </c>
      <c r="D109" s="3">
        <v>26</v>
      </c>
      <c r="E109" s="2" t="s">
        <v>30</v>
      </c>
      <c r="F109" s="2" t="s">
        <v>42</v>
      </c>
      <c r="G109" s="4">
        <v>177364</v>
      </c>
      <c r="H109" s="2" t="s">
        <v>14</v>
      </c>
      <c r="I109" s="1">
        <v>44224</v>
      </c>
      <c r="J109" t="str">
        <f ca="1">DATEDIF(Table2[[#This Row],[Join_Date]], TODAY(), "Y") &amp; "yrs"</f>
        <v>4yrs</v>
      </c>
      <c r="K109" t="str">
        <f>IF(Table2[[#This Row],[Age]]&lt;=19,"Teen",
   IF(Table2[[#This Row],[Age]]&lt;=35,"Young Adult",
      IF(Table2[[#This Row],[Age]]&lt;=55,"Middle-Age",
         "Old")))</f>
        <v>Young Adult</v>
      </c>
      <c r="L109" t="str">
        <f>IF(Table2[[#This Row],[Income]]&lt;=30000,"Low",
   IF(Table2[[#This Row],[Income]]&lt;=60000,"Medium",
      IF(Table2[[#This Row],[Income]]&lt;=100000,"High",
         "Premium")))</f>
        <v>Premium</v>
      </c>
    </row>
    <row r="110" spans="1:12" x14ac:dyDescent="0.35">
      <c r="A110" t="s">
        <v>241</v>
      </c>
      <c r="B110" s="2" t="s">
        <v>242</v>
      </c>
      <c r="C110" s="2" t="s">
        <v>17</v>
      </c>
      <c r="D110" s="3">
        <v>29</v>
      </c>
      <c r="E110" s="2" t="s">
        <v>12</v>
      </c>
      <c r="F110" s="2" t="s">
        <v>37</v>
      </c>
      <c r="G110" s="4">
        <v>131785</v>
      </c>
      <c r="H110" s="2" t="s">
        <v>20</v>
      </c>
      <c r="I110" s="1">
        <v>44077</v>
      </c>
      <c r="J110" t="str">
        <f ca="1">DATEDIF(Table2[[#This Row],[Join_Date]], TODAY(), "Y") &amp; "yrs"</f>
        <v>5yrs</v>
      </c>
      <c r="K110" t="str">
        <f>IF(Table2[[#This Row],[Age]]&lt;=19,"Teen",
   IF(Table2[[#This Row],[Age]]&lt;=35,"Young Adult",
      IF(Table2[[#This Row],[Age]]&lt;=55,"Middle-Age",
         "Old")))</f>
        <v>Young Adult</v>
      </c>
      <c r="L110" t="str">
        <f>IF(Table2[[#This Row],[Income]]&lt;=30000,"Low",
   IF(Table2[[#This Row],[Income]]&lt;=60000,"Medium",
      IF(Table2[[#This Row],[Income]]&lt;=100000,"High",
         "Premium")))</f>
        <v>Premium</v>
      </c>
    </row>
    <row r="111" spans="1:12" x14ac:dyDescent="0.35">
      <c r="A111" t="s">
        <v>243</v>
      </c>
      <c r="B111" s="2" t="s">
        <v>244</v>
      </c>
      <c r="C111" s="2" t="s">
        <v>11</v>
      </c>
      <c r="D111" s="3">
        <v>70</v>
      </c>
      <c r="E111" s="2" t="s">
        <v>18</v>
      </c>
      <c r="F111" s="2" t="s">
        <v>27</v>
      </c>
      <c r="G111" s="4">
        <v>106206</v>
      </c>
      <c r="H111" s="2" t="s">
        <v>14</v>
      </c>
      <c r="I111" s="1">
        <v>43256</v>
      </c>
      <c r="J111" t="str">
        <f ca="1">DATEDIF(Table2[[#This Row],[Join_Date]], TODAY(), "Y") &amp; "yrs"</f>
        <v>7yrs</v>
      </c>
      <c r="K111" t="str">
        <f>IF(Table2[[#This Row],[Age]]&lt;=19,"Teen",
   IF(Table2[[#This Row],[Age]]&lt;=35,"Young Adult",
      IF(Table2[[#This Row],[Age]]&lt;=55,"Middle-Age",
         "Old")))</f>
        <v>Old</v>
      </c>
      <c r="L111" t="str">
        <f>IF(Table2[[#This Row],[Income]]&lt;=30000,"Low",
   IF(Table2[[#This Row],[Income]]&lt;=60000,"Medium",
      IF(Table2[[#This Row],[Income]]&lt;=100000,"High",
         "Premium")))</f>
        <v>Premium</v>
      </c>
    </row>
    <row r="112" spans="1:12" x14ac:dyDescent="0.35">
      <c r="A112" t="s">
        <v>245</v>
      </c>
      <c r="B112" s="2" t="s">
        <v>246</v>
      </c>
      <c r="C112" s="2" t="s">
        <v>17</v>
      </c>
      <c r="D112" s="3">
        <v>18</v>
      </c>
      <c r="E112" s="2" t="s">
        <v>30</v>
      </c>
      <c r="F112" s="2" t="s">
        <v>31</v>
      </c>
      <c r="G112" s="4">
        <v>89274</v>
      </c>
      <c r="H112" s="2" t="s">
        <v>14</v>
      </c>
      <c r="I112" s="1">
        <v>43657</v>
      </c>
      <c r="J112" t="str">
        <f ca="1">DATEDIF(Table2[[#This Row],[Join_Date]], TODAY(), "Y") &amp; "yrs"</f>
        <v>6yrs</v>
      </c>
      <c r="K112" t="str">
        <f>IF(Table2[[#This Row],[Age]]&lt;=19,"Teen",
   IF(Table2[[#This Row],[Age]]&lt;=35,"Young Adult",
      IF(Table2[[#This Row],[Age]]&lt;=55,"Middle-Age",
         "Old")))</f>
        <v>Teen</v>
      </c>
      <c r="L112" t="str">
        <f>IF(Table2[[#This Row],[Income]]&lt;=30000,"Low",
   IF(Table2[[#This Row],[Income]]&lt;=60000,"Medium",
      IF(Table2[[#This Row],[Income]]&lt;=100000,"High",
         "Premium")))</f>
        <v>High</v>
      </c>
    </row>
    <row r="113" spans="1:12" x14ac:dyDescent="0.35">
      <c r="A113" t="s">
        <v>247</v>
      </c>
      <c r="B113" s="2" t="s">
        <v>248</v>
      </c>
      <c r="C113" s="2" t="s">
        <v>11</v>
      </c>
      <c r="D113" s="3">
        <v>18</v>
      </c>
      <c r="E113" s="2" t="s">
        <v>18</v>
      </c>
      <c r="F113" s="2" t="s">
        <v>42</v>
      </c>
      <c r="G113" s="4">
        <v>153541</v>
      </c>
      <c r="H113" s="2" t="s">
        <v>20</v>
      </c>
      <c r="I113" s="1">
        <v>43931</v>
      </c>
      <c r="J113" t="str">
        <f ca="1">DATEDIF(Table2[[#This Row],[Join_Date]], TODAY(), "Y") &amp; "yrs"</f>
        <v>5yrs</v>
      </c>
      <c r="K113" t="str">
        <f>IF(Table2[[#This Row],[Age]]&lt;=19,"Teen",
   IF(Table2[[#This Row],[Age]]&lt;=35,"Young Adult",
      IF(Table2[[#This Row],[Age]]&lt;=55,"Middle-Age",
         "Old")))</f>
        <v>Teen</v>
      </c>
      <c r="L113" t="str">
        <f>IF(Table2[[#This Row],[Income]]&lt;=30000,"Low",
   IF(Table2[[#This Row],[Income]]&lt;=60000,"Medium",
      IF(Table2[[#This Row],[Income]]&lt;=100000,"High",
         "Premium")))</f>
        <v>Premium</v>
      </c>
    </row>
    <row r="114" spans="1:12" x14ac:dyDescent="0.35">
      <c r="A114" t="s">
        <v>249</v>
      </c>
      <c r="B114" s="2" t="s">
        <v>250</v>
      </c>
      <c r="C114" s="2" t="s">
        <v>17</v>
      </c>
      <c r="D114" s="3">
        <v>64</v>
      </c>
      <c r="E114" s="2" t="s">
        <v>18</v>
      </c>
      <c r="F114" s="2" t="s">
        <v>13</v>
      </c>
      <c r="G114" s="4">
        <v>73947</v>
      </c>
      <c r="H114" s="2" t="s">
        <v>24</v>
      </c>
      <c r="I114" s="1">
        <v>42445</v>
      </c>
      <c r="J114" t="str">
        <f ca="1">DATEDIF(Table2[[#This Row],[Join_Date]], TODAY(), "Y") &amp; "yrs"</f>
        <v>9yrs</v>
      </c>
      <c r="K114" t="str">
        <f>IF(Table2[[#This Row],[Age]]&lt;=19,"Teen",
   IF(Table2[[#This Row],[Age]]&lt;=35,"Young Adult",
      IF(Table2[[#This Row],[Age]]&lt;=55,"Middle-Age",
         "Old")))</f>
        <v>Old</v>
      </c>
      <c r="L114" t="str">
        <f>IF(Table2[[#This Row],[Income]]&lt;=30000,"Low",
   IF(Table2[[#This Row],[Income]]&lt;=60000,"Medium",
      IF(Table2[[#This Row],[Income]]&lt;=100000,"High",
         "Premium")))</f>
        <v>High</v>
      </c>
    </row>
    <row r="115" spans="1:12" x14ac:dyDescent="0.35">
      <c r="A115" t="s">
        <v>251</v>
      </c>
      <c r="B115" s="2" t="s">
        <v>252</v>
      </c>
      <c r="C115" s="2" t="s">
        <v>17</v>
      </c>
      <c r="D115" s="3">
        <v>51</v>
      </c>
      <c r="E115" s="2" t="s">
        <v>12</v>
      </c>
      <c r="F115" s="2" t="s">
        <v>13</v>
      </c>
      <c r="G115" s="4">
        <v>173606</v>
      </c>
      <c r="H115" s="2" t="s">
        <v>20</v>
      </c>
      <c r="I115" s="1">
        <v>43658</v>
      </c>
      <c r="J115" t="str">
        <f ca="1">DATEDIF(Table2[[#This Row],[Join_Date]], TODAY(), "Y") &amp; "yrs"</f>
        <v>6yrs</v>
      </c>
      <c r="K115" t="str">
        <f>IF(Table2[[#This Row],[Age]]&lt;=19,"Teen",
   IF(Table2[[#This Row],[Age]]&lt;=35,"Young Adult",
      IF(Table2[[#This Row],[Age]]&lt;=55,"Middle-Age",
         "Old")))</f>
        <v>Middle-Age</v>
      </c>
      <c r="L115" t="str">
        <f>IF(Table2[[#This Row],[Income]]&lt;=30000,"Low",
   IF(Table2[[#This Row],[Income]]&lt;=60000,"Medium",
      IF(Table2[[#This Row],[Income]]&lt;=100000,"High",
         "Premium")))</f>
        <v>Premium</v>
      </c>
    </row>
    <row r="116" spans="1:12" x14ac:dyDescent="0.35">
      <c r="A116" t="s">
        <v>253</v>
      </c>
      <c r="B116" s="2" t="s">
        <v>254</v>
      </c>
      <c r="C116" s="2" t="s">
        <v>11</v>
      </c>
      <c r="D116" s="3">
        <v>49</v>
      </c>
      <c r="E116" s="2" t="s">
        <v>30</v>
      </c>
      <c r="F116" s="2" t="s">
        <v>13</v>
      </c>
      <c r="G116" s="4">
        <v>68874</v>
      </c>
      <c r="H116" s="2" t="s">
        <v>20</v>
      </c>
      <c r="I116" s="1">
        <v>45532</v>
      </c>
      <c r="J116" t="str">
        <f ca="1">DATEDIF(Table2[[#This Row],[Join_Date]], TODAY(), "Y") &amp; "yrs"</f>
        <v>1yrs</v>
      </c>
      <c r="K116" t="str">
        <f>IF(Table2[[#This Row],[Age]]&lt;=19,"Teen",
   IF(Table2[[#This Row],[Age]]&lt;=35,"Young Adult",
      IF(Table2[[#This Row],[Age]]&lt;=55,"Middle-Age",
         "Old")))</f>
        <v>Middle-Age</v>
      </c>
      <c r="L116" t="str">
        <f>IF(Table2[[#This Row],[Income]]&lt;=30000,"Low",
   IF(Table2[[#This Row],[Income]]&lt;=60000,"Medium",
      IF(Table2[[#This Row],[Income]]&lt;=100000,"High",
         "Premium")))</f>
        <v>High</v>
      </c>
    </row>
    <row r="117" spans="1:12" x14ac:dyDescent="0.35">
      <c r="A117" t="s">
        <v>255</v>
      </c>
      <c r="B117" s="2" t="s">
        <v>256</v>
      </c>
      <c r="C117" s="2" t="s">
        <v>17</v>
      </c>
      <c r="D117" s="3">
        <v>71</v>
      </c>
      <c r="E117" s="2" t="s">
        <v>34</v>
      </c>
      <c r="F117" s="2" t="s">
        <v>31</v>
      </c>
      <c r="G117" s="4">
        <v>69708</v>
      </c>
      <c r="H117" s="2" t="s">
        <v>20</v>
      </c>
      <c r="I117" s="1">
        <v>45797</v>
      </c>
      <c r="J117" t="str">
        <f ca="1">DATEDIF(Table2[[#This Row],[Join_Date]], TODAY(), "Y") &amp; "yrs"</f>
        <v>0yrs</v>
      </c>
      <c r="K117" t="str">
        <f>IF(Table2[[#This Row],[Age]]&lt;=19,"Teen",
   IF(Table2[[#This Row],[Age]]&lt;=35,"Young Adult",
      IF(Table2[[#This Row],[Age]]&lt;=55,"Middle-Age",
         "Old")))</f>
        <v>Old</v>
      </c>
      <c r="L117" t="str">
        <f>IF(Table2[[#This Row],[Income]]&lt;=30000,"Low",
   IF(Table2[[#This Row],[Income]]&lt;=60000,"Medium",
      IF(Table2[[#This Row],[Income]]&lt;=100000,"High",
         "Premium")))</f>
        <v>High</v>
      </c>
    </row>
    <row r="118" spans="1:12" x14ac:dyDescent="0.35">
      <c r="A118" t="s">
        <v>257</v>
      </c>
      <c r="B118" s="2" t="s">
        <v>258</v>
      </c>
      <c r="C118" s="2" t="s">
        <v>11</v>
      </c>
      <c r="D118" s="3">
        <v>65</v>
      </c>
      <c r="E118" s="2" t="s">
        <v>12</v>
      </c>
      <c r="F118" s="2" t="s">
        <v>31</v>
      </c>
      <c r="G118" s="4">
        <v>94553</v>
      </c>
      <c r="H118" s="2" t="s">
        <v>14</v>
      </c>
      <c r="I118" s="1">
        <v>45706</v>
      </c>
      <c r="J118" t="str">
        <f ca="1">DATEDIF(Table2[[#This Row],[Join_Date]], TODAY(), "Y") &amp; "yrs"</f>
        <v>0yrs</v>
      </c>
      <c r="K118" t="str">
        <f>IF(Table2[[#This Row],[Age]]&lt;=19,"Teen",
   IF(Table2[[#This Row],[Age]]&lt;=35,"Young Adult",
      IF(Table2[[#This Row],[Age]]&lt;=55,"Middle-Age",
         "Old")))</f>
        <v>Old</v>
      </c>
      <c r="L118" t="str">
        <f>IF(Table2[[#This Row],[Income]]&lt;=30000,"Low",
   IF(Table2[[#This Row],[Income]]&lt;=60000,"Medium",
      IF(Table2[[#This Row],[Income]]&lt;=100000,"High",
         "Premium")))</f>
        <v>High</v>
      </c>
    </row>
    <row r="119" spans="1:12" x14ac:dyDescent="0.35">
      <c r="A119" t="s">
        <v>259</v>
      </c>
      <c r="B119" s="2" t="s">
        <v>260</v>
      </c>
      <c r="C119" s="2" t="s">
        <v>17</v>
      </c>
      <c r="D119" s="3">
        <v>42</v>
      </c>
      <c r="E119" s="2" t="s">
        <v>34</v>
      </c>
      <c r="F119" s="2" t="s">
        <v>27</v>
      </c>
      <c r="G119" s="4">
        <v>88344</v>
      </c>
      <c r="H119" s="2" t="s">
        <v>14</v>
      </c>
      <c r="I119" s="1">
        <v>45720</v>
      </c>
      <c r="J119" t="str">
        <f ca="1">DATEDIF(Table2[[#This Row],[Join_Date]], TODAY(), "Y") &amp; "yrs"</f>
        <v>0yrs</v>
      </c>
      <c r="K119" t="str">
        <f>IF(Table2[[#This Row],[Age]]&lt;=19,"Teen",
   IF(Table2[[#This Row],[Age]]&lt;=35,"Young Adult",
      IF(Table2[[#This Row],[Age]]&lt;=55,"Middle-Age",
         "Old")))</f>
        <v>Middle-Age</v>
      </c>
      <c r="L119" t="str">
        <f>IF(Table2[[#This Row],[Income]]&lt;=30000,"Low",
   IF(Table2[[#This Row],[Income]]&lt;=60000,"Medium",
      IF(Table2[[#This Row],[Income]]&lt;=100000,"High",
         "Premium")))</f>
        <v>High</v>
      </c>
    </row>
    <row r="120" spans="1:12" x14ac:dyDescent="0.35">
      <c r="A120" t="s">
        <v>261</v>
      </c>
      <c r="B120" s="2" t="s">
        <v>262</v>
      </c>
      <c r="C120" s="2" t="s">
        <v>17</v>
      </c>
      <c r="D120" s="3">
        <v>57</v>
      </c>
      <c r="E120" s="2" t="s">
        <v>18</v>
      </c>
      <c r="F120" s="2" t="s">
        <v>37</v>
      </c>
      <c r="G120" s="4">
        <v>69138</v>
      </c>
      <c r="H120" s="2" t="s">
        <v>20</v>
      </c>
      <c r="I120" s="1">
        <v>43821</v>
      </c>
      <c r="J120" t="str">
        <f ca="1">DATEDIF(Table2[[#This Row],[Join_Date]], TODAY(), "Y") &amp; "yrs"</f>
        <v>6yrs</v>
      </c>
      <c r="K120" t="str">
        <f>IF(Table2[[#This Row],[Age]]&lt;=19,"Teen",
   IF(Table2[[#This Row],[Age]]&lt;=35,"Young Adult",
      IF(Table2[[#This Row],[Age]]&lt;=55,"Middle-Age",
         "Old")))</f>
        <v>Old</v>
      </c>
      <c r="L120" t="str">
        <f>IF(Table2[[#This Row],[Income]]&lt;=30000,"Low",
   IF(Table2[[#This Row],[Income]]&lt;=60000,"Medium",
      IF(Table2[[#This Row],[Income]]&lt;=100000,"High",
         "Premium")))</f>
        <v>High</v>
      </c>
    </row>
    <row r="121" spans="1:12" x14ac:dyDescent="0.35">
      <c r="A121" t="s">
        <v>263</v>
      </c>
      <c r="B121" s="2" t="s">
        <v>264</v>
      </c>
      <c r="C121" s="2" t="s">
        <v>11</v>
      </c>
      <c r="D121" s="3">
        <v>62</v>
      </c>
      <c r="E121" s="2" t="s">
        <v>18</v>
      </c>
      <c r="F121" s="2" t="s">
        <v>27</v>
      </c>
      <c r="G121" s="4">
        <v>67638</v>
      </c>
      <c r="H121" s="2" t="s">
        <v>14</v>
      </c>
      <c r="I121" s="1">
        <v>43555</v>
      </c>
      <c r="J121" t="str">
        <f ca="1">DATEDIF(Table2[[#This Row],[Join_Date]], TODAY(), "Y") &amp; "yrs"</f>
        <v>6yrs</v>
      </c>
      <c r="K121" t="str">
        <f>IF(Table2[[#This Row],[Age]]&lt;=19,"Teen",
   IF(Table2[[#This Row],[Age]]&lt;=35,"Young Adult",
      IF(Table2[[#This Row],[Age]]&lt;=55,"Middle-Age",
         "Old")))</f>
        <v>Old</v>
      </c>
      <c r="L121" t="str">
        <f>IF(Table2[[#This Row],[Income]]&lt;=30000,"Low",
   IF(Table2[[#This Row],[Income]]&lt;=60000,"Medium",
      IF(Table2[[#This Row],[Income]]&lt;=100000,"High",
         "Premium")))</f>
        <v>High</v>
      </c>
    </row>
    <row r="122" spans="1:12" x14ac:dyDescent="0.35">
      <c r="A122" t="s">
        <v>265</v>
      </c>
      <c r="B122" s="2" t="s">
        <v>266</v>
      </c>
      <c r="C122" s="2" t="s">
        <v>17</v>
      </c>
      <c r="D122" s="3">
        <v>70</v>
      </c>
      <c r="E122" s="2" t="s">
        <v>12</v>
      </c>
      <c r="F122" s="2" t="s">
        <v>27</v>
      </c>
      <c r="G122" s="4">
        <v>98249</v>
      </c>
      <c r="H122" s="2" t="s">
        <v>20</v>
      </c>
      <c r="I122" s="1">
        <v>45094</v>
      </c>
      <c r="J122" t="str">
        <f ca="1">DATEDIF(Table2[[#This Row],[Join_Date]], TODAY(), "Y") &amp; "yrs"</f>
        <v>2yrs</v>
      </c>
      <c r="K122" t="str">
        <f>IF(Table2[[#This Row],[Age]]&lt;=19,"Teen",
   IF(Table2[[#This Row],[Age]]&lt;=35,"Young Adult",
      IF(Table2[[#This Row],[Age]]&lt;=55,"Middle-Age",
         "Old")))</f>
        <v>Old</v>
      </c>
      <c r="L122" t="str">
        <f>IF(Table2[[#This Row],[Income]]&lt;=30000,"Low",
   IF(Table2[[#This Row],[Income]]&lt;=60000,"Medium",
      IF(Table2[[#This Row],[Income]]&lt;=100000,"High",
         "Premium")))</f>
        <v>High</v>
      </c>
    </row>
    <row r="123" spans="1:12" x14ac:dyDescent="0.35">
      <c r="A123" t="s">
        <v>267</v>
      </c>
      <c r="B123" s="2" t="s">
        <v>268</v>
      </c>
      <c r="C123" s="2" t="s">
        <v>11</v>
      </c>
      <c r="D123" s="3">
        <v>18</v>
      </c>
      <c r="E123" s="2" t="s">
        <v>12</v>
      </c>
      <c r="F123" s="2" t="s">
        <v>31</v>
      </c>
      <c r="G123" s="4">
        <v>125865</v>
      </c>
      <c r="H123" s="2" t="s">
        <v>24</v>
      </c>
      <c r="I123" s="1">
        <v>42270</v>
      </c>
      <c r="J123" t="str">
        <f ca="1">DATEDIF(Table2[[#This Row],[Join_Date]], TODAY(), "Y") &amp; "yrs"</f>
        <v>10yrs</v>
      </c>
      <c r="K123" t="str">
        <f>IF(Table2[[#This Row],[Age]]&lt;=19,"Teen",
   IF(Table2[[#This Row],[Age]]&lt;=35,"Young Adult",
      IF(Table2[[#This Row],[Age]]&lt;=55,"Middle-Age",
         "Old")))</f>
        <v>Teen</v>
      </c>
      <c r="L123" t="str">
        <f>IF(Table2[[#This Row],[Income]]&lt;=30000,"Low",
   IF(Table2[[#This Row],[Income]]&lt;=60000,"Medium",
      IF(Table2[[#This Row],[Income]]&lt;=100000,"High",
         "Premium")))</f>
        <v>Premium</v>
      </c>
    </row>
    <row r="124" spans="1:12" x14ac:dyDescent="0.35">
      <c r="A124" t="s">
        <v>269</v>
      </c>
      <c r="B124" s="2" t="s">
        <v>270</v>
      </c>
      <c r="C124" s="2" t="s">
        <v>17</v>
      </c>
      <c r="D124" s="3">
        <v>33</v>
      </c>
      <c r="E124" s="2" t="s">
        <v>34</v>
      </c>
      <c r="F124" s="2" t="s">
        <v>13</v>
      </c>
      <c r="G124" s="4">
        <v>22719</v>
      </c>
      <c r="H124" s="2" t="s">
        <v>14</v>
      </c>
      <c r="I124" s="1">
        <v>42921</v>
      </c>
      <c r="J124" t="str">
        <f ca="1">DATEDIF(Table2[[#This Row],[Join_Date]], TODAY(), "Y") &amp; "yrs"</f>
        <v>8yrs</v>
      </c>
      <c r="K124" t="str">
        <f>IF(Table2[[#This Row],[Age]]&lt;=19,"Teen",
   IF(Table2[[#This Row],[Age]]&lt;=35,"Young Adult",
      IF(Table2[[#This Row],[Age]]&lt;=55,"Middle-Age",
         "Old")))</f>
        <v>Young Adult</v>
      </c>
      <c r="L124" t="str">
        <f>IF(Table2[[#This Row],[Income]]&lt;=30000,"Low",
   IF(Table2[[#This Row],[Income]]&lt;=60000,"Medium",
      IF(Table2[[#This Row],[Income]]&lt;=100000,"High",
         "Premium")))</f>
        <v>Low</v>
      </c>
    </row>
    <row r="125" spans="1:12" x14ac:dyDescent="0.35">
      <c r="A125" t="s">
        <v>271</v>
      </c>
      <c r="B125" s="2" t="s">
        <v>272</v>
      </c>
      <c r="C125" s="2" t="s">
        <v>11</v>
      </c>
      <c r="D125" s="3">
        <v>56</v>
      </c>
      <c r="E125" s="2" t="s">
        <v>30</v>
      </c>
      <c r="F125" s="2" t="s">
        <v>23</v>
      </c>
      <c r="G125" s="4">
        <v>173962</v>
      </c>
      <c r="H125" s="2" t="s">
        <v>14</v>
      </c>
      <c r="I125" s="1">
        <v>44752</v>
      </c>
      <c r="J125" t="str">
        <f ca="1">DATEDIF(Table2[[#This Row],[Join_Date]], TODAY(), "Y") &amp; "yrs"</f>
        <v>3yrs</v>
      </c>
      <c r="K125" t="str">
        <f>IF(Table2[[#This Row],[Age]]&lt;=19,"Teen",
   IF(Table2[[#This Row],[Age]]&lt;=35,"Young Adult",
      IF(Table2[[#This Row],[Age]]&lt;=55,"Middle-Age",
         "Old")))</f>
        <v>Old</v>
      </c>
      <c r="L125" t="str">
        <f>IF(Table2[[#This Row],[Income]]&lt;=30000,"Low",
   IF(Table2[[#This Row],[Income]]&lt;=60000,"Medium",
      IF(Table2[[#This Row],[Income]]&lt;=100000,"High",
         "Premium")))</f>
        <v>Premium</v>
      </c>
    </row>
    <row r="126" spans="1:12" x14ac:dyDescent="0.35">
      <c r="A126" t="s">
        <v>273</v>
      </c>
      <c r="B126" s="2" t="s">
        <v>274</v>
      </c>
      <c r="C126" s="2" t="s">
        <v>11</v>
      </c>
      <c r="D126" s="3">
        <v>22</v>
      </c>
      <c r="E126" s="2" t="s">
        <v>34</v>
      </c>
      <c r="F126" s="2" t="s">
        <v>37</v>
      </c>
      <c r="G126" s="4">
        <v>187581</v>
      </c>
      <c r="H126" s="2" t="s">
        <v>20</v>
      </c>
      <c r="I126" s="1">
        <v>42754</v>
      </c>
      <c r="J126" t="str">
        <f ca="1">DATEDIF(Table2[[#This Row],[Join_Date]], TODAY(), "Y") &amp; "yrs"</f>
        <v>9yrs</v>
      </c>
      <c r="K126" t="str">
        <f>IF(Table2[[#This Row],[Age]]&lt;=19,"Teen",
   IF(Table2[[#This Row],[Age]]&lt;=35,"Young Adult",
      IF(Table2[[#This Row],[Age]]&lt;=55,"Middle-Age",
         "Old")))</f>
        <v>Young Adult</v>
      </c>
      <c r="L126" t="str">
        <f>IF(Table2[[#This Row],[Income]]&lt;=30000,"Low",
   IF(Table2[[#This Row],[Income]]&lt;=60000,"Medium",
      IF(Table2[[#This Row],[Income]]&lt;=100000,"High",
         "Premium")))</f>
        <v>Premium</v>
      </c>
    </row>
    <row r="127" spans="1:12" x14ac:dyDescent="0.35">
      <c r="A127" t="s">
        <v>275</v>
      </c>
      <c r="B127" s="2" t="s">
        <v>276</v>
      </c>
      <c r="C127" s="2" t="s">
        <v>17</v>
      </c>
      <c r="D127" s="3">
        <v>39</v>
      </c>
      <c r="E127" s="2" t="s">
        <v>12</v>
      </c>
      <c r="F127" s="2" t="s">
        <v>31</v>
      </c>
      <c r="G127" s="4">
        <v>62534</v>
      </c>
      <c r="H127" s="2" t="s">
        <v>14</v>
      </c>
      <c r="I127" s="1">
        <v>43891</v>
      </c>
      <c r="J127" t="str">
        <f ca="1">DATEDIF(Table2[[#This Row],[Join_Date]], TODAY(), "Y") &amp; "yrs"</f>
        <v>5yrs</v>
      </c>
      <c r="K127" t="str">
        <f>IF(Table2[[#This Row],[Age]]&lt;=19,"Teen",
   IF(Table2[[#This Row],[Age]]&lt;=35,"Young Adult",
      IF(Table2[[#This Row],[Age]]&lt;=55,"Middle-Age",
         "Old")))</f>
        <v>Middle-Age</v>
      </c>
      <c r="L127" t="str">
        <f>IF(Table2[[#This Row],[Income]]&lt;=30000,"Low",
   IF(Table2[[#This Row],[Income]]&lt;=60000,"Medium",
      IF(Table2[[#This Row],[Income]]&lt;=100000,"High",
         "Premium")))</f>
        <v>High</v>
      </c>
    </row>
    <row r="128" spans="1:12" x14ac:dyDescent="0.35">
      <c r="A128" t="s">
        <v>277</v>
      </c>
      <c r="B128" s="2" t="s">
        <v>278</v>
      </c>
      <c r="C128" s="2" t="s">
        <v>17</v>
      </c>
      <c r="D128" s="3">
        <v>46</v>
      </c>
      <c r="E128" s="2" t="s">
        <v>34</v>
      </c>
      <c r="F128" s="2" t="s">
        <v>13</v>
      </c>
      <c r="G128" s="4">
        <v>112241</v>
      </c>
      <c r="H128" s="2" t="s">
        <v>20</v>
      </c>
      <c r="I128" s="1">
        <v>42374</v>
      </c>
      <c r="J128" t="str">
        <f ca="1">DATEDIF(Table2[[#This Row],[Join_Date]], TODAY(), "Y") &amp; "yrs"</f>
        <v>10yrs</v>
      </c>
      <c r="K128" t="str">
        <f>IF(Table2[[#This Row],[Age]]&lt;=19,"Teen",
   IF(Table2[[#This Row],[Age]]&lt;=35,"Young Adult",
      IF(Table2[[#This Row],[Age]]&lt;=55,"Middle-Age",
         "Old")))</f>
        <v>Middle-Age</v>
      </c>
      <c r="L128" t="str">
        <f>IF(Table2[[#This Row],[Income]]&lt;=30000,"Low",
   IF(Table2[[#This Row],[Income]]&lt;=60000,"Medium",
      IF(Table2[[#This Row],[Income]]&lt;=100000,"High",
         "Premium")))</f>
        <v>Premium</v>
      </c>
    </row>
    <row r="129" spans="1:12" x14ac:dyDescent="0.35">
      <c r="A129" t="s">
        <v>279</v>
      </c>
      <c r="B129" s="2" t="s">
        <v>280</v>
      </c>
      <c r="C129" s="2" t="s">
        <v>11</v>
      </c>
      <c r="D129" s="3">
        <v>72</v>
      </c>
      <c r="E129" s="2" t="s">
        <v>12</v>
      </c>
      <c r="F129" s="2" t="s">
        <v>42</v>
      </c>
      <c r="G129" s="4">
        <v>169859</v>
      </c>
      <c r="H129" s="2" t="s">
        <v>14</v>
      </c>
      <c r="I129" s="1">
        <v>45039</v>
      </c>
      <c r="J129" t="str">
        <f ca="1">DATEDIF(Table2[[#This Row],[Join_Date]], TODAY(), "Y") &amp; "yrs"</f>
        <v>2yrs</v>
      </c>
      <c r="K129" t="str">
        <f>IF(Table2[[#This Row],[Age]]&lt;=19,"Teen",
   IF(Table2[[#This Row],[Age]]&lt;=35,"Young Adult",
      IF(Table2[[#This Row],[Age]]&lt;=55,"Middle-Age",
         "Old")))</f>
        <v>Old</v>
      </c>
      <c r="L129" t="str">
        <f>IF(Table2[[#This Row],[Income]]&lt;=30000,"Low",
   IF(Table2[[#This Row],[Income]]&lt;=60000,"Medium",
      IF(Table2[[#This Row],[Income]]&lt;=100000,"High",
         "Premium")))</f>
        <v>Premium</v>
      </c>
    </row>
    <row r="130" spans="1:12" x14ac:dyDescent="0.35">
      <c r="A130" t="s">
        <v>281</v>
      </c>
      <c r="B130" s="2" t="s">
        <v>282</v>
      </c>
      <c r="C130" s="2" t="s">
        <v>17</v>
      </c>
      <c r="D130" s="3">
        <v>20</v>
      </c>
      <c r="E130" s="2" t="s">
        <v>34</v>
      </c>
      <c r="F130" s="2" t="s">
        <v>23</v>
      </c>
      <c r="G130" s="4">
        <v>146209</v>
      </c>
      <c r="H130" s="2" t="s">
        <v>20</v>
      </c>
      <c r="I130" s="1">
        <v>43517</v>
      </c>
      <c r="J130" t="str">
        <f ca="1">DATEDIF(Table2[[#This Row],[Join_Date]], TODAY(), "Y") &amp; "yrs"</f>
        <v>6yrs</v>
      </c>
      <c r="K130" t="str">
        <f>IF(Table2[[#This Row],[Age]]&lt;=19,"Teen",
   IF(Table2[[#This Row],[Age]]&lt;=35,"Young Adult",
      IF(Table2[[#This Row],[Age]]&lt;=55,"Middle-Age",
         "Old")))</f>
        <v>Young Adult</v>
      </c>
      <c r="L130" t="str">
        <f>IF(Table2[[#This Row],[Income]]&lt;=30000,"Low",
   IF(Table2[[#This Row],[Income]]&lt;=60000,"Medium",
      IF(Table2[[#This Row],[Income]]&lt;=100000,"High",
         "Premium")))</f>
        <v>Premium</v>
      </c>
    </row>
    <row r="131" spans="1:12" x14ac:dyDescent="0.35">
      <c r="A131" t="s">
        <v>283</v>
      </c>
      <c r="B131" s="2" t="s">
        <v>284</v>
      </c>
      <c r="C131" s="2" t="s">
        <v>17</v>
      </c>
      <c r="D131" s="3">
        <v>29</v>
      </c>
      <c r="E131" s="2" t="s">
        <v>12</v>
      </c>
      <c r="F131" s="2" t="s">
        <v>23</v>
      </c>
      <c r="G131" s="4">
        <v>199917</v>
      </c>
      <c r="H131" s="2" t="s">
        <v>14</v>
      </c>
      <c r="I131" s="1">
        <v>45498</v>
      </c>
      <c r="J131" t="str">
        <f ca="1">DATEDIF(Table2[[#This Row],[Join_Date]], TODAY(), "Y") &amp; "yrs"</f>
        <v>1yrs</v>
      </c>
      <c r="K131" t="str">
        <f>IF(Table2[[#This Row],[Age]]&lt;=19,"Teen",
   IF(Table2[[#This Row],[Age]]&lt;=35,"Young Adult",
      IF(Table2[[#This Row],[Age]]&lt;=55,"Middle-Age",
         "Old")))</f>
        <v>Young Adult</v>
      </c>
      <c r="L131" t="str">
        <f>IF(Table2[[#This Row],[Income]]&lt;=30000,"Low",
   IF(Table2[[#This Row],[Income]]&lt;=60000,"Medium",
      IF(Table2[[#This Row],[Income]]&lt;=100000,"High",
         "Premium")))</f>
        <v>Premium</v>
      </c>
    </row>
    <row r="132" spans="1:12" x14ac:dyDescent="0.35">
      <c r="A132" t="s">
        <v>285</v>
      </c>
      <c r="B132" s="2" t="s">
        <v>286</v>
      </c>
      <c r="C132" s="2" t="s">
        <v>17</v>
      </c>
      <c r="D132" s="3">
        <v>43</v>
      </c>
      <c r="E132" s="2" t="s">
        <v>12</v>
      </c>
      <c r="F132" s="2" t="s">
        <v>31</v>
      </c>
      <c r="G132" s="4">
        <v>112124</v>
      </c>
      <c r="H132" s="2" t="s">
        <v>20</v>
      </c>
      <c r="I132" s="1">
        <v>43955</v>
      </c>
      <c r="J132" t="str">
        <f ca="1">DATEDIF(Table2[[#This Row],[Join_Date]], TODAY(), "Y") &amp; "yrs"</f>
        <v>5yrs</v>
      </c>
      <c r="K132" t="str">
        <f>IF(Table2[[#This Row],[Age]]&lt;=19,"Teen",
   IF(Table2[[#This Row],[Age]]&lt;=35,"Young Adult",
      IF(Table2[[#This Row],[Age]]&lt;=55,"Middle-Age",
         "Old")))</f>
        <v>Middle-Age</v>
      </c>
      <c r="L132" t="str">
        <f>IF(Table2[[#This Row],[Income]]&lt;=30000,"Low",
   IF(Table2[[#This Row],[Income]]&lt;=60000,"Medium",
      IF(Table2[[#This Row],[Income]]&lt;=100000,"High",
         "Premium")))</f>
        <v>Premium</v>
      </c>
    </row>
    <row r="133" spans="1:12" x14ac:dyDescent="0.35">
      <c r="A133" t="s">
        <v>287</v>
      </c>
      <c r="B133" s="2" t="s">
        <v>288</v>
      </c>
      <c r="C133" s="2" t="s">
        <v>11</v>
      </c>
      <c r="D133" s="3">
        <v>33</v>
      </c>
      <c r="E133" s="2" t="s">
        <v>12</v>
      </c>
      <c r="F133" s="2" t="s">
        <v>19</v>
      </c>
      <c r="G133" s="4">
        <v>111659</v>
      </c>
      <c r="H133" s="2" t="s">
        <v>14</v>
      </c>
      <c r="I133" s="1">
        <v>43143</v>
      </c>
      <c r="J133" t="str">
        <f ca="1">DATEDIF(Table2[[#This Row],[Join_Date]], TODAY(), "Y") &amp; "yrs"</f>
        <v>7yrs</v>
      </c>
      <c r="K133" t="str">
        <f>IF(Table2[[#This Row],[Age]]&lt;=19,"Teen",
   IF(Table2[[#This Row],[Age]]&lt;=35,"Young Adult",
      IF(Table2[[#This Row],[Age]]&lt;=55,"Middle-Age",
         "Old")))</f>
        <v>Young Adult</v>
      </c>
      <c r="L133" t="str">
        <f>IF(Table2[[#This Row],[Income]]&lt;=30000,"Low",
   IF(Table2[[#This Row],[Income]]&lt;=60000,"Medium",
      IF(Table2[[#This Row],[Income]]&lt;=100000,"High",
         "Premium")))</f>
        <v>Premium</v>
      </c>
    </row>
    <row r="134" spans="1:12" x14ac:dyDescent="0.35">
      <c r="A134" t="s">
        <v>289</v>
      </c>
      <c r="B134" s="2" t="s">
        <v>290</v>
      </c>
      <c r="C134" s="2" t="s">
        <v>11</v>
      </c>
      <c r="D134" s="3">
        <v>68</v>
      </c>
      <c r="E134" s="2" t="s">
        <v>30</v>
      </c>
      <c r="F134" s="2" t="s">
        <v>37</v>
      </c>
      <c r="G134" s="4">
        <v>184134</v>
      </c>
      <c r="H134" s="2" t="s">
        <v>14</v>
      </c>
      <c r="I134" s="1">
        <v>44454</v>
      </c>
      <c r="J134" t="str">
        <f ca="1">DATEDIF(Table2[[#This Row],[Join_Date]], TODAY(), "Y") &amp; "yrs"</f>
        <v>4yrs</v>
      </c>
      <c r="K134" t="str">
        <f>IF(Table2[[#This Row],[Age]]&lt;=19,"Teen",
   IF(Table2[[#This Row],[Age]]&lt;=35,"Young Adult",
      IF(Table2[[#This Row],[Age]]&lt;=55,"Middle-Age",
         "Old")))</f>
        <v>Old</v>
      </c>
      <c r="L134" t="str">
        <f>IF(Table2[[#This Row],[Income]]&lt;=30000,"Low",
   IF(Table2[[#This Row],[Income]]&lt;=60000,"Medium",
      IF(Table2[[#This Row],[Income]]&lt;=100000,"High",
         "Premium")))</f>
        <v>Premium</v>
      </c>
    </row>
    <row r="135" spans="1:12" x14ac:dyDescent="0.35">
      <c r="A135" t="s">
        <v>291</v>
      </c>
      <c r="B135" s="2" t="s">
        <v>292</v>
      </c>
      <c r="C135" s="2" t="s">
        <v>11</v>
      </c>
      <c r="D135" s="3">
        <v>54</v>
      </c>
      <c r="E135" s="2" t="s">
        <v>34</v>
      </c>
      <c r="F135" s="2" t="s">
        <v>23</v>
      </c>
      <c r="G135" s="4">
        <v>95713</v>
      </c>
      <c r="H135" s="2" t="s">
        <v>14</v>
      </c>
      <c r="I135" s="1">
        <v>43302</v>
      </c>
      <c r="J135" t="str">
        <f ca="1">DATEDIF(Table2[[#This Row],[Join_Date]], TODAY(), "Y") &amp; "yrs"</f>
        <v>7yrs</v>
      </c>
      <c r="K135" t="str">
        <f>IF(Table2[[#This Row],[Age]]&lt;=19,"Teen",
   IF(Table2[[#This Row],[Age]]&lt;=35,"Young Adult",
      IF(Table2[[#This Row],[Age]]&lt;=55,"Middle-Age",
         "Old")))</f>
        <v>Middle-Age</v>
      </c>
      <c r="L135" t="str">
        <f>IF(Table2[[#This Row],[Income]]&lt;=30000,"Low",
   IF(Table2[[#This Row],[Income]]&lt;=60000,"Medium",
      IF(Table2[[#This Row],[Income]]&lt;=100000,"High",
         "Premium")))</f>
        <v>High</v>
      </c>
    </row>
    <row r="136" spans="1:12" x14ac:dyDescent="0.35">
      <c r="A136" t="s">
        <v>293</v>
      </c>
      <c r="B136" s="2" t="s">
        <v>294</v>
      </c>
      <c r="C136" s="2" t="s">
        <v>11</v>
      </c>
      <c r="D136" s="3">
        <v>39</v>
      </c>
      <c r="E136" s="2" t="s">
        <v>34</v>
      </c>
      <c r="F136" s="2" t="s">
        <v>31</v>
      </c>
      <c r="G136" s="4">
        <v>95418</v>
      </c>
      <c r="H136" s="2" t="s">
        <v>20</v>
      </c>
      <c r="I136" s="1">
        <v>43262</v>
      </c>
      <c r="J136" t="str">
        <f ca="1">DATEDIF(Table2[[#This Row],[Join_Date]], TODAY(), "Y") &amp; "yrs"</f>
        <v>7yrs</v>
      </c>
      <c r="K136" t="str">
        <f>IF(Table2[[#This Row],[Age]]&lt;=19,"Teen",
   IF(Table2[[#This Row],[Age]]&lt;=35,"Young Adult",
      IF(Table2[[#This Row],[Age]]&lt;=55,"Middle-Age",
         "Old")))</f>
        <v>Middle-Age</v>
      </c>
      <c r="L136" t="str">
        <f>IF(Table2[[#This Row],[Income]]&lt;=30000,"Low",
   IF(Table2[[#This Row],[Income]]&lt;=60000,"Medium",
      IF(Table2[[#This Row],[Income]]&lt;=100000,"High",
         "Premium")))</f>
        <v>High</v>
      </c>
    </row>
    <row r="137" spans="1:12" x14ac:dyDescent="0.35">
      <c r="A137" t="s">
        <v>295</v>
      </c>
      <c r="B137" s="2" t="s">
        <v>296</v>
      </c>
      <c r="C137" s="2" t="s">
        <v>11</v>
      </c>
      <c r="D137" s="3">
        <v>74</v>
      </c>
      <c r="E137" s="2" t="s">
        <v>34</v>
      </c>
      <c r="F137" s="2" t="s">
        <v>31</v>
      </c>
      <c r="G137" s="4">
        <v>148232</v>
      </c>
      <c r="H137" s="2" t="s">
        <v>20</v>
      </c>
      <c r="I137" s="1">
        <v>45439</v>
      </c>
      <c r="J137" t="str">
        <f ca="1">DATEDIF(Table2[[#This Row],[Join_Date]], TODAY(), "Y") &amp; "yrs"</f>
        <v>1yrs</v>
      </c>
      <c r="K137" t="str">
        <f>IF(Table2[[#This Row],[Age]]&lt;=19,"Teen",
   IF(Table2[[#This Row],[Age]]&lt;=35,"Young Adult",
      IF(Table2[[#This Row],[Age]]&lt;=55,"Middle-Age",
         "Old")))</f>
        <v>Old</v>
      </c>
      <c r="L137" t="str">
        <f>IF(Table2[[#This Row],[Income]]&lt;=30000,"Low",
   IF(Table2[[#This Row],[Income]]&lt;=60000,"Medium",
      IF(Table2[[#This Row],[Income]]&lt;=100000,"High",
         "Premium")))</f>
        <v>Premium</v>
      </c>
    </row>
    <row r="138" spans="1:12" x14ac:dyDescent="0.35">
      <c r="A138" t="s">
        <v>297</v>
      </c>
      <c r="B138" s="2" t="s">
        <v>298</v>
      </c>
      <c r="C138" s="2" t="s">
        <v>11</v>
      </c>
      <c r="D138" s="3">
        <v>46</v>
      </c>
      <c r="E138" s="2" t="s">
        <v>12</v>
      </c>
      <c r="F138" s="2" t="s">
        <v>13</v>
      </c>
      <c r="G138" s="4">
        <v>185904</v>
      </c>
      <c r="H138" s="2" t="s">
        <v>14</v>
      </c>
      <c r="I138" s="1">
        <v>43594</v>
      </c>
      <c r="J138" t="str">
        <f ca="1">DATEDIF(Table2[[#This Row],[Join_Date]], TODAY(), "Y") &amp; "yrs"</f>
        <v>6yrs</v>
      </c>
      <c r="K138" t="str">
        <f>IF(Table2[[#This Row],[Age]]&lt;=19,"Teen",
   IF(Table2[[#This Row],[Age]]&lt;=35,"Young Adult",
      IF(Table2[[#This Row],[Age]]&lt;=55,"Middle-Age",
         "Old")))</f>
        <v>Middle-Age</v>
      </c>
      <c r="L138" t="str">
        <f>IF(Table2[[#This Row],[Income]]&lt;=30000,"Low",
   IF(Table2[[#This Row],[Income]]&lt;=60000,"Medium",
      IF(Table2[[#This Row],[Income]]&lt;=100000,"High",
         "Premium")))</f>
        <v>Premium</v>
      </c>
    </row>
    <row r="139" spans="1:12" x14ac:dyDescent="0.35">
      <c r="A139" t="s">
        <v>299</v>
      </c>
      <c r="B139" s="2" t="s">
        <v>300</v>
      </c>
      <c r="C139" s="2" t="s">
        <v>11</v>
      </c>
      <c r="D139" s="3">
        <v>31</v>
      </c>
      <c r="E139" s="2" t="s">
        <v>34</v>
      </c>
      <c r="F139" s="2" t="s">
        <v>42</v>
      </c>
      <c r="G139" s="4">
        <v>183038</v>
      </c>
      <c r="H139" s="2" t="s">
        <v>14</v>
      </c>
      <c r="I139" s="1">
        <v>42817</v>
      </c>
      <c r="J139" t="str">
        <f ca="1">DATEDIF(Table2[[#This Row],[Join_Date]], TODAY(), "Y") &amp; "yrs"</f>
        <v>8yrs</v>
      </c>
      <c r="K139" t="str">
        <f>IF(Table2[[#This Row],[Age]]&lt;=19,"Teen",
   IF(Table2[[#This Row],[Age]]&lt;=35,"Young Adult",
      IF(Table2[[#This Row],[Age]]&lt;=55,"Middle-Age",
         "Old")))</f>
        <v>Young Adult</v>
      </c>
      <c r="L139" t="str">
        <f>IF(Table2[[#This Row],[Income]]&lt;=30000,"Low",
   IF(Table2[[#This Row],[Income]]&lt;=60000,"Medium",
      IF(Table2[[#This Row],[Income]]&lt;=100000,"High",
         "Premium")))</f>
        <v>Premium</v>
      </c>
    </row>
    <row r="140" spans="1:12" x14ac:dyDescent="0.35">
      <c r="A140" t="s">
        <v>301</v>
      </c>
      <c r="B140" s="2" t="s">
        <v>302</v>
      </c>
      <c r="C140" s="2" t="s">
        <v>11</v>
      </c>
      <c r="D140" s="3">
        <v>45</v>
      </c>
      <c r="E140" s="2" t="s">
        <v>34</v>
      </c>
      <c r="F140" s="2" t="s">
        <v>19</v>
      </c>
      <c r="G140" s="4">
        <v>164059</v>
      </c>
      <c r="H140" s="2" t="s">
        <v>14</v>
      </c>
      <c r="I140" s="1">
        <v>45619</v>
      </c>
      <c r="J140" t="str">
        <f ca="1">DATEDIF(Table2[[#This Row],[Join_Date]], TODAY(), "Y") &amp; "yrs"</f>
        <v>1yrs</v>
      </c>
      <c r="K140" t="str">
        <f>IF(Table2[[#This Row],[Age]]&lt;=19,"Teen",
   IF(Table2[[#This Row],[Age]]&lt;=35,"Young Adult",
      IF(Table2[[#This Row],[Age]]&lt;=55,"Middle-Age",
         "Old")))</f>
        <v>Middle-Age</v>
      </c>
      <c r="L140" t="str">
        <f>IF(Table2[[#This Row],[Income]]&lt;=30000,"Low",
   IF(Table2[[#This Row],[Income]]&lt;=60000,"Medium",
      IF(Table2[[#This Row],[Income]]&lt;=100000,"High",
         "Premium")))</f>
        <v>Premium</v>
      </c>
    </row>
    <row r="141" spans="1:12" x14ac:dyDescent="0.35">
      <c r="A141" t="s">
        <v>303</v>
      </c>
      <c r="B141" s="2" t="s">
        <v>304</v>
      </c>
      <c r="C141" s="2" t="s">
        <v>11</v>
      </c>
      <c r="D141" s="3">
        <v>22</v>
      </c>
      <c r="E141" s="2" t="s">
        <v>12</v>
      </c>
      <c r="F141" s="2" t="s">
        <v>37</v>
      </c>
      <c r="G141" s="4">
        <v>188383</v>
      </c>
      <c r="H141" s="2" t="s">
        <v>20</v>
      </c>
      <c r="I141" s="1">
        <v>43371</v>
      </c>
      <c r="J141" t="str">
        <f ca="1">DATEDIF(Table2[[#This Row],[Join_Date]], TODAY(), "Y") &amp; "yrs"</f>
        <v>7yrs</v>
      </c>
      <c r="K141" t="str">
        <f>IF(Table2[[#This Row],[Age]]&lt;=19,"Teen",
   IF(Table2[[#This Row],[Age]]&lt;=35,"Young Adult",
      IF(Table2[[#This Row],[Age]]&lt;=55,"Middle-Age",
         "Old")))</f>
        <v>Young Adult</v>
      </c>
      <c r="L141" t="str">
        <f>IF(Table2[[#This Row],[Income]]&lt;=30000,"Low",
   IF(Table2[[#This Row],[Income]]&lt;=60000,"Medium",
      IF(Table2[[#This Row],[Income]]&lt;=100000,"High",
         "Premium")))</f>
        <v>Premium</v>
      </c>
    </row>
    <row r="142" spans="1:12" x14ac:dyDescent="0.35">
      <c r="A142" t="s">
        <v>305</v>
      </c>
      <c r="B142" s="2" t="s">
        <v>306</v>
      </c>
      <c r="C142" s="2" t="s">
        <v>17</v>
      </c>
      <c r="D142" s="3">
        <v>64</v>
      </c>
      <c r="E142" s="2" t="s">
        <v>18</v>
      </c>
      <c r="F142" s="2" t="s">
        <v>27</v>
      </c>
      <c r="G142" s="4">
        <v>51575</v>
      </c>
      <c r="H142" s="2" t="s">
        <v>20</v>
      </c>
      <c r="I142" s="1">
        <v>43326</v>
      </c>
      <c r="J142" t="str">
        <f ca="1">DATEDIF(Table2[[#This Row],[Join_Date]], TODAY(), "Y") &amp; "yrs"</f>
        <v>7yrs</v>
      </c>
      <c r="K142" t="str">
        <f>IF(Table2[[#This Row],[Age]]&lt;=19,"Teen",
   IF(Table2[[#This Row],[Age]]&lt;=35,"Young Adult",
      IF(Table2[[#This Row],[Age]]&lt;=55,"Middle-Age",
         "Old")))</f>
        <v>Old</v>
      </c>
      <c r="L142" t="str">
        <f>IF(Table2[[#This Row],[Income]]&lt;=30000,"Low",
   IF(Table2[[#This Row],[Income]]&lt;=60000,"Medium",
      IF(Table2[[#This Row],[Income]]&lt;=100000,"High",
         "Premium")))</f>
        <v>Medium</v>
      </c>
    </row>
    <row r="143" spans="1:12" x14ac:dyDescent="0.35">
      <c r="A143" t="s">
        <v>307</v>
      </c>
      <c r="B143" s="2" t="s">
        <v>308</v>
      </c>
      <c r="C143" s="2" t="s">
        <v>11</v>
      </c>
      <c r="D143" s="3">
        <v>66</v>
      </c>
      <c r="E143" s="2" t="s">
        <v>12</v>
      </c>
      <c r="F143" s="2" t="s">
        <v>42</v>
      </c>
      <c r="G143" s="4">
        <v>83852</v>
      </c>
      <c r="H143" s="2" t="s">
        <v>14</v>
      </c>
      <c r="I143" s="1">
        <v>45560</v>
      </c>
      <c r="J143" t="str">
        <f ca="1">DATEDIF(Table2[[#This Row],[Join_Date]], TODAY(), "Y") &amp; "yrs"</f>
        <v>1yrs</v>
      </c>
      <c r="K143" t="str">
        <f>IF(Table2[[#This Row],[Age]]&lt;=19,"Teen",
   IF(Table2[[#This Row],[Age]]&lt;=35,"Young Adult",
      IF(Table2[[#This Row],[Age]]&lt;=55,"Middle-Age",
         "Old")))</f>
        <v>Old</v>
      </c>
      <c r="L143" t="str">
        <f>IF(Table2[[#This Row],[Income]]&lt;=30000,"Low",
   IF(Table2[[#This Row],[Income]]&lt;=60000,"Medium",
      IF(Table2[[#This Row],[Income]]&lt;=100000,"High",
         "Premium")))</f>
        <v>High</v>
      </c>
    </row>
    <row r="144" spans="1:12" x14ac:dyDescent="0.35">
      <c r="A144" t="s">
        <v>309</v>
      </c>
      <c r="B144" s="2" t="s">
        <v>310</v>
      </c>
      <c r="C144" s="2" t="s">
        <v>17</v>
      </c>
      <c r="D144" s="3">
        <v>47</v>
      </c>
      <c r="E144" s="2" t="s">
        <v>34</v>
      </c>
      <c r="F144" s="2" t="s">
        <v>42</v>
      </c>
      <c r="G144" s="4">
        <v>152079</v>
      </c>
      <c r="H144" s="2" t="s">
        <v>14</v>
      </c>
      <c r="I144" s="1">
        <v>44528</v>
      </c>
      <c r="J144" t="str">
        <f ca="1">DATEDIF(Table2[[#This Row],[Join_Date]], TODAY(), "Y") &amp; "yrs"</f>
        <v>4yrs</v>
      </c>
      <c r="K144" t="str">
        <f>IF(Table2[[#This Row],[Age]]&lt;=19,"Teen",
   IF(Table2[[#This Row],[Age]]&lt;=35,"Young Adult",
      IF(Table2[[#This Row],[Age]]&lt;=55,"Middle-Age",
         "Old")))</f>
        <v>Middle-Age</v>
      </c>
      <c r="L144" t="str">
        <f>IF(Table2[[#This Row],[Income]]&lt;=30000,"Low",
   IF(Table2[[#This Row],[Income]]&lt;=60000,"Medium",
      IF(Table2[[#This Row],[Income]]&lt;=100000,"High",
         "Premium")))</f>
        <v>Premium</v>
      </c>
    </row>
    <row r="145" spans="1:12" x14ac:dyDescent="0.35">
      <c r="A145" t="s">
        <v>311</v>
      </c>
      <c r="B145" s="2" t="s">
        <v>312</v>
      </c>
      <c r="C145" s="2" t="s">
        <v>17</v>
      </c>
      <c r="D145" s="3">
        <v>63</v>
      </c>
      <c r="E145" s="2" t="s">
        <v>12</v>
      </c>
      <c r="F145" s="2" t="s">
        <v>13</v>
      </c>
      <c r="G145" s="4">
        <v>96242</v>
      </c>
      <c r="H145" s="2" t="s">
        <v>14</v>
      </c>
      <c r="I145" s="1">
        <v>43084</v>
      </c>
      <c r="J145" t="str">
        <f ca="1">DATEDIF(Table2[[#This Row],[Join_Date]], TODAY(), "Y") &amp; "yrs"</f>
        <v>8yrs</v>
      </c>
      <c r="K145" t="str">
        <f>IF(Table2[[#This Row],[Age]]&lt;=19,"Teen",
   IF(Table2[[#This Row],[Age]]&lt;=35,"Young Adult",
      IF(Table2[[#This Row],[Age]]&lt;=55,"Middle-Age",
         "Old")))</f>
        <v>Old</v>
      </c>
      <c r="L145" t="str">
        <f>IF(Table2[[#This Row],[Income]]&lt;=30000,"Low",
   IF(Table2[[#This Row],[Income]]&lt;=60000,"Medium",
      IF(Table2[[#This Row],[Income]]&lt;=100000,"High",
         "Premium")))</f>
        <v>High</v>
      </c>
    </row>
    <row r="146" spans="1:12" x14ac:dyDescent="0.35">
      <c r="A146" t="s">
        <v>313</v>
      </c>
      <c r="B146" s="2" t="s">
        <v>314</v>
      </c>
      <c r="C146" s="2" t="s">
        <v>17</v>
      </c>
      <c r="D146" s="3">
        <v>69</v>
      </c>
      <c r="E146" s="2" t="s">
        <v>18</v>
      </c>
      <c r="F146" s="2" t="s">
        <v>23</v>
      </c>
      <c r="G146" s="4">
        <v>198589</v>
      </c>
      <c r="H146" s="2" t="s">
        <v>14</v>
      </c>
      <c r="I146" s="1">
        <v>43588</v>
      </c>
      <c r="J146" t="str">
        <f ca="1">DATEDIF(Table2[[#This Row],[Join_Date]], TODAY(), "Y") &amp; "yrs"</f>
        <v>6yrs</v>
      </c>
      <c r="K146" t="str">
        <f>IF(Table2[[#This Row],[Age]]&lt;=19,"Teen",
   IF(Table2[[#This Row],[Age]]&lt;=35,"Young Adult",
      IF(Table2[[#This Row],[Age]]&lt;=55,"Middle-Age",
         "Old")))</f>
        <v>Old</v>
      </c>
      <c r="L146" t="str">
        <f>IF(Table2[[#This Row],[Income]]&lt;=30000,"Low",
   IF(Table2[[#This Row],[Income]]&lt;=60000,"Medium",
      IF(Table2[[#This Row],[Income]]&lt;=100000,"High",
         "Premium")))</f>
        <v>Premium</v>
      </c>
    </row>
    <row r="147" spans="1:12" x14ac:dyDescent="0.35">
      <c r="A147" t="s">
        <v>315</v>
      </c>
      <c r="B147" s="2" t="s">
        <v>316</v>
      </c>
      <c r="C147" s="2" t="s">
        <v>11</v>
      </c>
      <c r="D147" s="3">
        <v>22</v>
      </c>
      <c r="E147" s="2" t="s">
        <v>12</v>
      </c>
      <c r="F147" s="2" t="s">
        <v>23</v>
      </c>
      <c r="G147" s="4">
        <v>49257</v>
      </c>
      <c r="H147" s="2" t="s">
        <v>14</v>
      </c>
      <c r="I147" s="1">
        <v>44029</v>
      </c>
      <c r="J147" t="str">
        <f ca="1">DATEDIF(Table2[[#This Row],[Join_Date]], TODAY(), "Y") &amp; "yrs"</f>
        <v>5yrs</v>
      </c>
      <c r="K147" t="str">
        <f>IF(Table2[[#This Row],[Age]]&lt;=19,"Teen",
   IF(Table2[[#This Row],[Age]]&lt;=35,"Young Adult",
      IF(Table2[[#This Row],[Age]]&lt;=55,"Middle-Age",
         "Old")))</f>
        <v>Young Adult</v>
      </c>
      <c r="L147" t="str">
        <f>IF(Table2[[#This Row],[Income]]&lt;=30000,"Low",
   IF(Table2[[#This Row],[Income]]&lt;=60000,"Medium",
      IF(Table2[[#This Row],[Income]]&lt;=100000,"High",
         "Premium")))</f>
        <v>Medium</v>
      </c>
    </row>
    <row r="148" spans="1:12" x14ac:dyDescent="0.35">
      <c r="A148" t="s">
        <v>317</v>
      </c>
      <c r="B148" s="2" t="s">
        <v>318</v>
      </c>
      <c r="C148" s="2" t="s">
        <v>11</v>
      </c>
      <c r="D148" s="3">
        <v>29</v>
      </c>
      <c r="E148" s="2" t="s">
        <v>34</v>
      </c>
      <c r="F148" s="2" t="s">
        <v>13</v>
      </c>
      <c r="G148" s="4">
        <v>193279</v>
      </c>
      <c r="H148" s="2" t="s">
        <v>24</v>
      </c>
      <c r="I148" s="1">
        <v>43888</v>
      </c>
      <c r="J148" t="str">
        <f ca="1">DATEDIF(Table2[[#This Row],[Join_Date]], TODAY(), "Y") &amp; "yrs"</f>
        <v>5yrs</v>
      </c>
      <c r="K148" t="str">
        <f>IF(Table2[[#This Row],[Age]]&lt;=19,"Teen",
   IF(Table2[[#This Row],[Age]]&lt;=35,"Young Adult",
      IF(Table2[[#This Row],[Age]]&lt;=55,"Middle-Age",
         "Old")))</f>
        <v>Young Adult</v>
      </c>
      <c r="L148" t="str">
        <f>IF(Table2[[#This Row],[Income]]&lt;=30000,"Low",
   IF(Table2[[#This Row],[Income]]&lt;=60000,"Medium",
      IF(Table2[[#This Row],[Income]]&lt;=100000,"High",
         "Premium")))</f>
        <v>Premium</v>
      </c>
    </row>
    <row r="149" spans="1:12" x14ac:dyDescent="0.35">
      <c r="A149" t="s">
        <v>319</v>
      </c>
      <c r="B149" s="2" t="s">
        <v>320</v>
      </c>
      <c r="C149" s="2" t="s">
        <v>11</v>
      </c>
      <c r="D149" s="3">
        <v>33</v>
      </c>
      <c r="E149" s="2" t="s">
        <v>18</v>
      </c>
      <c r="F149" s="2" t="s">
        <v>31</v>
      </c>
      <c r="G149" s="4">
        <v>164353</v>
      </c>
      <c r="H149" s="2" t="s">
        <v>14</v>
      </c>
      <c r="I149" s="1">
        <v>43337</v>
      </c>
      <c r="J149" t="str">
        <f ca="1">DATEDIF(Table2[[#This Row],[Join_Date]], TODAY(), "Y") &amp; "yrs"</f>
        <v>7yrs</v>
      </c>
      <c r="K149" t="str">
        <f>IF(Table2[[#This Row],[Age]]&lt;=19,"Teen",
   IF(Table2[[#This Row],[Age]]&lt;=35,"Young Adult",
      IF(Table2[[#This Row],[Age]]&lt;=55,"Middle-Age",
         "Old")))</f>
        <v>Young Adult</v>
      </c>
      <c r="L149" t="str">
        <f>IF(Table2[[#This Row],[Income]]&lt;=30000,"Low",
   IF(Table2[[#This Row],[Income]]&lt;=60000,"Medium",
      IF(Table2[[#This Row],[Income]]&lt;=100000,"High",
         "Premium")))</f>
        <v>Premium</v>
      </c>
    </row>
    <row r="150" spans="1:12" x14ac:dyDescent="0.35">
      <c r="A150" t="s">
        <v>321</v>
      </c>
      <c r="B150" s="2" t="s">
        <v>322</v>
      </c>
      <c r="C150" s="2" t="s">
        <v>11</v>
      </c>
      <c r="D150" s="3">
        <v>43</v>
      </c>
      <c r="E150" s="2" t="s">
        <v>30</v>
      </c>
      <c r="F150" s="2" t="s">
        <v>23</v>
      </c>
      <c r="G150" s="4">
        <v>81246</v>
      </c>
      <c r="H150" s="2" t="s">
        <v>20</v>
      </c>
      <c r="I150" s="1">
        <v>44893</v>
      </c>
      <c r="J150" t="str">
        <f ca="1">DATEDIF(Table2[[#This Row],[Join_Date]], TODAY(), "Y") &amp; "yrs"</f>
        <v>3yrs</v>
      </c>
      <c r="K150" t="str">
        <f>IF(Table2[[#This Row],[Age]]&lt;=19,"Teen",
   IF(Table2[[#This Row],[Age]]&lt;=35,"Young Adult",
      IF(Table2[[#This Row],[Age]]&lt;=55,"Middle-Age",
         "Old")))</f>
        <v>Middle-Age</v>
      </c>
      <c r="L150" t="str">
        <f>IF(Table2[[#This Row],[Income]]&lt;=30000,"Low",
   IF(Table2[[#This Row],[Income]]&lt;=60000,"Medium",
      IF(Table2[[#This Row],[Income]]&lt;=100000,"High",
         "Premium")))</f>
        <v>High</v>
      </c>
    </row>
    <row r="151" spans="1:12" x14ac:dyDescent="0.35">
      <c r="A151" t="s">
        <v>323</v>
      </c>
      <c r="B151" s="2" t="s">
        <v>324</v>
      </c>
      <c r="C151" s="2" t="s">
        <v>17</v>
      </c>
      <c r="D151" s="3">
        <v>43</v>
      </c>
      <c r="E151" s="2" t="s">
        <v>34</v>
      </c>
      <c r="F151" s="2" t="s">
        <v>19</v>
      </c>
      <c r="G151" s="4">
        <v>21435</v>
      </c>
      <c r="H151" s="2" t="s">
        <v>14</v>
      </c>
      <c r="I151" s="1">
        <v>44015</v>
      </c>
      <c r="J151" t="str">
        <f ca="1">DATEDIF(Table2[[#This Row],[Join_Date]], TODAY(), "Y") &amp; "yrs"</f>
        <v>5yrs</v>
      </c>
      <c r="K151" t="str">
        <f>IF(Table2[[#This Row],[Age]]&lt;=19,"Teen",
   IF(Table2[[#This Row],[Age]]&lt;=35,"Young Adult",
      IF(Table2[[#This Row],[Age]]&lt;=55,"Middle-Age",
         "Old")))</f>
        <v>Middle-Age</v>
      </c>
      <c r="L151" t="str">
        <f>IF(Table2[[#This Row],[Income]]&lt;=30000,"Low",
   IF(Table2[[#This Row],[Income]]&lt;=60000,"Medium",
      IF(Table2[[#This Row],[Income]]&lt;=100000,"High",
         "Premium")))</f>
        <v>Low</v>
      </c>
    </row>
    <row r="152" spans="1:12" x14ac:dyDescent="0.35">
      <c r="A152" t="s">
        <v>325</v>
      </c>
      <c r="B152" s="2" t="s">
        <v>326</v>
      </c>
      <c r="C152" s="2" t="s">
        <v>11</v>
      </c>
      <c r="D152" s="3">
        <v>65</v>
      </c>
      <c r="E152" s="2" t="s">
        <v>18</v>
      </c>
      <c r="F152" s="2" t="s">
        <v>37</v>
      </c>
      <c r="G152" s="4">
        <v>111357</v>
      </c>
      <c r="H152" s="2" t="s">
        <v>14</v>
      </c>
      <c r="I152" s="1">
        <v>43949</v>
      </c>
      <c r="J152" t="str">
        <f ca="1">DATEDIF(Table2[[#This Row],[Join_Date]], TODAY(), "Y") &amp; "yrs"</f>
        <v>5yrs</v>
      </c>
      <c r="K152" t="str">
        <f>IF(Table2[[#This Row],[Age]]&lt;=19,"Teen",
   IF(Table2[[#This Row],[Age]]&lt;=35,"Young Adult",
      IF(Table2[[#This Row],[Age]]&lt;=55,"Middle-Age",
         "Old")))</f>
        <v>Old</v>
      </c>
      <c r="L152" t="str">
        <f>IF(Table2[[#This Row],[Income]]&lt;=30000,"Low",
   IF(Table2[[#This Row],[Income]]&lt;=60000,"Medium",
      IF(Table2[[#This Row],[Income]]&lt;=100000,"High",
         "Premium")))</f>
        <v>Premium</v>
      </c>
    </row>
    <row r="153" spans="1:12" x14ac:dyDescent="0.35">
      <c r="A153" t="s">
        <v>327</v>
      </c>
      <c r="B153" s="2" t="s">
        <v>328</v>
      </c>
      <c r="C153" s="2" t="s">
        <v>11</v>
      </c>
      <c r="D153" s="3">
        <v>38</v>
      </c>
      <c r="E153" s="2" t="s">
        <v>18</v>
      </c>
      <c r="F153" s="2" t="s">
        <v>42</v>
      </c>
      <c r="G153" s="4">
        <v>177732</v>
      </c>
      <c r="H153" s="2" t="s">
        <v>20</v>
      </c>
      <c r="I153" s="1">
        <v>43409</v>
      </c>
      <c r="J153" t="str">
        <f ca="1">DATEDIF(Table2[[#This Row],[Join_Date]], TODAY(), "Y") &amp; "yrs"</f>
        <v>7yrs</v>
      </c>
      <c r="K153" t="str">
        <f>IF(Table2[[#This Row],[Age]]&lt;=19,"Teen",
   IF(Table2[[#This Row],[Age]]&lt;=35,"Young Adult",
      IF(Table2[[#This Row],[Age]]&lt;=55,"Middle-Age",
         "Old")))</f>
        <v>Middle-Age</v>
      </c>
      <c r="L153" t="str">
        <f>IF(Table2[[#This Row],[Income]]&lt;=30000,"Low",
   IF(Table2[[#This Row],[Income]]&lt;=60000,"Medium",
      IF(Table2[[#This Row],[Income]]&lt;=100000,"High",
         "Premium")))</f>
        <v>Premium</v>
      </c>
    </row>
    <row r="154" spans="1:12" x14ac:dyDescent="0.35">
      <c r="A154" t="s">
        <v>329</v>
      </c>
      <c r="B154" s="2" t="s">
        <v>330</v>
      </c>
      <c r="C154" s="2" t="s">
        <v>11</v>
      </c>
      <c r="D154" s="3">
        <v>56</v>
      </c>
      <c r="E154" s="2" t="s">
        <v>30</v>
      </c>
      <c r="F154" s="2" t="s">
        <v>42</v>
      </c>
      <c r="G154" s="4">
        <v>156156</v>
      </c>
      <c r="H154" s="2" t="s">
        <v>20</v>
      </c>
      <c r="I154" s="1">
        <v>42365</v>
      </c>
      <c r="J154" t="str">
        <f ca="1">DATEDIF(Table2[[#This Row],[Join_Date]], TODAY(), "Y") &amp; "yrs"</f>
        <v>10yrs</v>
      </c>
      <c r="K154" t="str">
        <f>IF(Table2[[#This Row],[Age]]&lt;=19,"Teen",
   IF(Table2[[#This Row],[Age]]&lt;=35,"Young Adult",
      IF(Table2[[#This Row],[Age]]&lt;=55,"Middle-Age",
         "Old")))</f>
        <v>Old</v>
      </c>
      <c r="L154" t="str">
        <f>IF(Table2[[#This Row],[Income]]&lt;=30000,"Low",
   IF(Table2[[#This Row],[Income]]&lt;=60000,"Medium",
      IF(Table2[[#This Row],[Income]]&lt;=100000,"High",
         "Premium")))</f>
        <v>Premium</v>
      </c>
    </row>
    <row r="155" spans="1:12" x14ac:dyDescent="0.35">
      <c r="A155" t="s">
        <v>331</v>
      </c>
      <c r="B155" s="2" t="s">
        <v>332</v>
      </c>
      <c r="C155" s="2" t="s">
        <v>11</v>
      </c>
      <c r="D155" s="3">
        <v>53</v>
      </c>
      <c r="E155" s="2" t="s">
        <v>12</v>
      </c>
      <c r="F155" s="2" t="s">
        <v>19</v>
      </c>
      <c r="G155" s="4">
        <v>164579</v>
      </c>
      <c r="H155" s="2" t="s">
        <v>24</v>
      </c>
      <c r="I155" s="1">
        <v>42280</v>
      </c>
      <c r="J155" t="str">
        <f ca="1">DATEDIF(Table2[[#This Row],[Join_Date]], TODAY(), "Y") &amp; "yrs"</f>
        <v>10yrs</v>
      </c>
      <c r="K155" t="str">
        <f>IF(Table2[[#This Row],[Age]]&lt;=19,"Teen",
   IF(Table2[[#This Row],[Age]]&lt;=35,"Young Adult",
      IF(Table2[[#This Row],[Age]]&lt;=55,"Middle-Age",
         "Old")))</f>
        <v>Middle-Age</v>
      </c>
      <c r="L155" t="str">
        <f>IF(Table2[[#This Row],[Income]]&lt;=30000,"Low",
   IF(Table2[[#This Row],[Income]]&lt;=60000,"Medium",
      IF(Table2[[#This Row],[Income]]&lt;=100000,"High",
         "Premium")))</f>
        <v>Premium</v>
      </c>
    </row>
    <row r="156" spans="1:12" x14ac:dyDescent="0.35">
      <c r="A156" t="s">
        <v>333</v>
      </c>
      <c r="B156" s="2" t="s">
        <v>334</v>
      </c>
      <c r="C156" s="2" t="s">
        <v>11</v>
      </c>
      <c r="D156" s="3">
        <v>50</v>
      </c>
      <c r="E156" s="2" t="s">
        <v>12</v>
      </c>
      <c r="F156" s="2" t="s">
        <v>23</v>
      </c>
      <c r="G156" s="4">
        <v>103807</v>
      </c>
      <c r="H156" s="2" t="s">
        <v>14</v>
      </c>
      <c r="I156" s="1">
        <v>45264</v>
      </c>
      <c r="J156" t="str">
        <f ca="1">DATEDIF(Table2[[#This Row],[Join_Date]], TODAY(), "Y") &amp; "yrs"</f>
        <v>2yrs</v>
      </c>
      <c r="K156" t="str">
        <f>IF(Table2[[#This Row],[Age]]&lt;=19,"Teen",
   IF(Table2[[#This Row],[Age]]&lt;=35,"Young Adult",
      IF(Table2[[#This Row],[Age]]&lt;=55,"Middle-Age",
         "Old")))</f>
        <v>Middle-Age</v>
      </c>
      <c r="L156" t="str">
        <f>IF(Table2[[#This Row],[Income]]&lt;=30000,"Low",
   IF(Table2[[#This Row],[Income]]&lt;=60000,"Medium",
      IF(Table2[[#This Row],[Income]]&lt;=100000,"High",
         "Premium")))</f>
        <v>Premium</v>
      </c>
    </row>
    <row r="157" spans="1:12" x14ac:dyDescent="0.35">
      <c r="A157" t="s">
        <v>335</v>
      </c>
      <c r="B157" s="2" t="s">
        <v>336</v>
      </c>
      <c r="C157" s="2" t="s">
        <v>17</v>
      </c>
      <c r="D157" s="3">
        <v>47</v>
      </c>
      <c r="E157" s="2" t="s">
        <v>34</v>
      </c>
      <c r="F157" s="2" t="s">
        <v>42</v>
      </c>
      <c r="G157" s="4">
        <v>196611</v>
      </c>
      <c r="H157" s="2" t="s">
        <v>14</v>
      </c>
      <c r="I157" s="1">
        <v>44850</v>
      </c>
      <c r="J157" t="str">
        <f ca="1">DATEDIF(Table2[[#This Row],[Join_Date]], TODAY(), "Y") &amp; "yrs"</f>
        <v>3yrs</v>
      </c>
      <c r="K157" t="str">
        <f>IF(Table2[[#This Row],[Age]]&lt;=19,"Teen",
   IF(Table2[[#This Row],[Age]]&lt;=35,"Young Adult",
      IF(Table2[[#This Row],[Age]]&lt;=55,"Middle-Age",
         "Old")))</f>
        <v>Middle-Age</v>
      </c>
      <c r="L157" t="str">
        <f>IF(Table2[[#This Row],[Income]]&lt;=30000,"Low",
   IF(Table2[[#This Row],[Income]]&lt;=60000,"Medium",
      IF(Table2[[#This Row],[Income]]&lt;=100000,"High",
         "Premium")))</f>
        <v>Premium</v>
      </c>
    </row>
    <row r="158" spans="1:12" x14ac:dyDescent="0.35">
      <c r="A158" t="s">
        <v>337</v>
      </c>
      <c r="B158" s="2" t="s">
        <v>338</v>
      </c>
      <c r="C158" s="2" t="s">
        <v>11</v>
      </c>
      <c r="D158" s="3">
        <v>54</v>
      </c>
      <c r="E158" s="2" t="s">
        <v>30</v>
      </c>
      <c r="F158" s="2" t="s">
        <v>27</v>
      </c>
      <c r="G158" s="4">
        <v>135953</v>
      </c>
      <c r="H158" s="2" t="s">
        <v>20</v>
      </c>
      <c r="I158" s="1">
        <v>43172</v>
      </c>
      <c r="J158" t="str">
        <f ca="1">DATEDIF(Table2[[#This Row],[Join_Date]], TODAY(), "Y") &amp; "yrs"</f>
        <v>7yrs</v>
      </c>
      <c r="K158" t="str">
        <f>IF(Table2[[#This Row],[Age]]&lt;=19,"Teen",
   IF(Table2[[#This Row],[Age]]&lt;=35,"Young Adult",
      IF(Table2[[#This Row],[Age]]&lt;=55,"Middle-Age",
         "Old")))</f>
        <v>Middle-Age</v>
      </c>
      <c r="L158" t="str">
        <f>IF(Table2[[#This Row],[Income]]&lt;=30000,"Low",
   IF(Table2[[#This Row],[Income]]&lt;=60000,"Medium",
      IF(Table2[[#This Row],[Income]]&lt;=100000,"High",
         "Premium")))</f>
        <v>Premium</v>
      </c>
    </row>
    <row r="159" spans="1:12" x14ac:dyDescent="0.35">
      <c r="A159" t="s">
        <v>339</v>
      </c>
      <c r="B159" s="2" t="s">
        <v>340</v>
      </c>
      <c r="C159" s="2" t="s">
        <v>17</v>
      </c>
      <c r="D159" s="3">
        <v>40</v>
      </c>
      <c r="E159" s="2" t="s">
        <v>12</v>
      </c>
      <c r="F159" s="2" t="s">
        <v>37</v>
      </c>
      <c r="G159" s="4">
        <v>158563</v>
      </c>
      <c r="H159" s="2" t="s">
        <v>14</v>
      </c>
      <c r="I159" s="1">
        <v>45774</v>
      </c>
      <c r="J159" t="str">
        <f ca="1">DATEDIF(Table2[[#This Row],[Join_Date]], TODAY(), "Y") &amp; "yrs"</f>
        <v>0yrs</v>
      </c>
      <c r="K159" t="str">
        <f>IF(Table2[[#This Row],[Age]]&lt;=19,"Teen",
   IF(Table2[[#This Row],[Age]]&lt;=35,"Young Adult",
      IF(Table2[[#This Row],[Age]]&lt;=55,"Middle-Age",
         "Old")))</f>
        <v>Middle-Age</v>
      </c>
      <c r="L159" t="str">
        <f>IF(Table2[[#This Row],[Income]]&lt;=30000,"Low",
   IF(Table2[[#This Row],[Income]]&lt;=60000,"Medium",
      IF(Table2[[#This Row],[Income]]&lt;=100000,"High",
         "Premium")))</f>
        <v>Premium</v>
      </c>
    </row>
    <row r="160" spans="1:12" x14ac:dyDescent="0.35">
      <c r="A160" t="s">
        <v>341</v>
      </c>
      <c r="B160" s="2" t="s">
        <v>342</v>
      </c>
      <c r="C160" s="2" t="s">
        <v>11</v>
      </c>
      <c r="D160" s="3">
        <v>27</v>
      </c>
      <c r="E160" s="2" t="s">
        <v>30</v>
      </c>
      <c r="F160" s="2" t="s">
        <v>37</v>
      </c>
      <c r="G160" s="4">
        <v>143797</v>
      </c>
      <c r="H160" s="2" t="s">
        <v>14</v>
      </c>
      <c r="I160" s="1">
        <v>43200</v>
      </c>
      <c r="J160" t="str">
        <f ca="1">DATEDIF(Table2[[#This Row],[Join_Date]], TODAY(), "Y") &amp; "yrs"</f>
        <v>7yrs</v>
      </c>
      <c r="K160" t="str">
        <f>IF(Table2[[#This Row],[Age]]&lt;=19,"Teen",
   IF(Table2[[#This Row],[Age]]&lt;=35,"Young Adult",
      IF(Table2[[#This Row],[Age]]&lt;=55,"Middle-Age",
         "Old")))</f>
        <v>Young Adult</v>
      </c>
      <c r="L160" t="str">
        <f>IF(Table2[[#This Row],[Income]]&lt;=30000,"Low",
   IF(Table2[[#This Row],[Income]]&lt;=60000,"Medium",
      IF(Table2[[#This Row],[Income]]&lt;=100000,"High",
         "Premium")))</f>
        <v>Premium</v>
      </c>
    </row>
    <row r="161" spans="1:12" x14ac:dyDescent="0.35">
      <c r="A161" t="s">
        <v>343</v>
      </c>
      <c r="B161" s="2" t="s">
        <v>344</v>
      </c>
      <c r="C161" s="2" t="s">
        <v>17</v>
      </c>
      <c r="D161" s="3">
        <v>71</v>
      </c>
      <c r="E161" s="2" t="s">
        <v>12</v>
      </c>
      <c r="F161" s="2" t="s">
        <v>42</v>
      </c>
      <c r="G161" s="4">
        <v>83888</v>
      </c>
      <c r="H161" s="2" t="s">
        <v>14</v>
      </c>
      <c r="I161" s="1">
        <v>42314</v>
      </c>
      <c r="J161" t="str">
        <f ca="1">DATEDIF(Table2[[#This Row],[Join_Date]], TODAY(), "Y") &amp; "yrs"</f>
        <v>10yrs</v>
      </c>
      <c r="K161" t="str">
        <f>IF(Table2[[#This Row],[Age]]&lt;=19,"Teen",
   IF(Table2[[#This Row],[Age]]&lt;=35,"Young Adult",
      IF(Table2[[#This Row],[Age]]&lt;=55,"Middle-Age",
         "Old")))</f>
        <v>Old</v>
      </c>
      <c r="L161" t="str">
        <f>IF(Table2[[#This Row],[Income]]&lt;=30000,"Low",
   IF(Table2[[#This Row],[Income]]&lt;=60000,"Medium",
      IF(Table2[[#This Row],[Income]]&lt;=100000,"High",
         "Premium")))</f>
        <v>High</v>
      </c>
    </row>
    <row r="162" spans="1:12" x14ac:dyDescent="0.35">
      <c r="A162" t="s">
        <v>345</v>
      </c>
      <c r="B162" s="2" t="s">
        <v>346</v>
      </c>
      <c r="C162" s="2" t="s">
        <v>11</v>
      </c>
      <c r="D162" s="3">
        <v>22</v>
      </c>
      <c r="E162" s="2" t="s">
        <v>18</v>
      </c>
      <c r="F162" s="2" t="s">
        <v>13</v>
      </c>
      <c r="G162" s="4">
        <v>93609</v>
      </c>
      <c r="H162" s="2" t="s">
        <v>14</v>
      </c>
      <c r="I162" s="1">
        <v>44252</v>
      </c>
      <c r="J162" t="str">
        <f ca="1">DATEDIF(Table2[[#This Row],[Join_Date]], TODAY(), "Y") &amp; "yrs"</f>
        <v>4yrs</v>
      </c>
      <c r="K162" t="str">
        <f>IF(Table2[[#This Row],[Age]]&lt;=19,"Teen",
   IF(Table2[[#This Row],[Age]]&lt;=35,"Young Adult",
      IF(Table2[[#This Row],[Age]]&lt;=55,"Middle-Age",
         "Old")))</f>
        <v>Young Adult</v>
      </c>
      <c r="L162" t="str">
        <f>IF(Table2[[#This Row],[Income]]&lt;=30000,"Low",
   IF(Table2[[#This Row],[Income]]&lt;=60000,"Medium",
      IF(Table2[[#This Row],[Income]]&lt;=100000,"High",
         "Premium")))</f>
        <v>High</v>
      </c>
    </row>
    <row r="163" spans="1:12" x14ac:dyDescent="0.35">
      <c r="A163" t="s">
        <v>347</v>
      </c>
      <c r="B163" s="2" t="s">
        <v>348</v>
      </c>
      <c r="C163" s="2" t="s">
        <v>11</v>
      </c>
      <c r="D163" s="3">
        <v>53</v>
      </c>
      <c r="E163" s="2" t="s">
        <v>12</v>
      </c>
      <c r="F163" s="2" t="s">
        <v>42</v>
      </c>
      <c r="G163" s="4">
        <v>29077</v>
      </c>
      <c r="H163" s="2" t="s">
        <v>20</v>
      </c>
      <c r="I163" s="1">
        <v>42248</v>
      </c>
      <c r="J163" t="str">
        <f ca="1">DATEDIF(Table2[[#This Row],[Join_Date]], TODAY(), "Y") &amp; "yrs"</f>
        <v>10yrs</v>
      </c>
      <c r="K163" t="str">
        <f>IF(Table2[[#This Row],[Age]]&lt;=19,"Teen",
   IF(Table2[[#This Row],[Age]]&lt;=35,"Young Adult",
      IF(Table2[[#This Row],[Age]]&lt;=55,"Middle-Age",
         "Old")))</f>
        <v>Middle-Age</v>
      </c>
      <c r="L163" t="str">
        <f>IF(Table2[[#This Row],[Income]]&lt;=30000,"Low",
   IF(Table2[[#This Row],[Income]]&lt;=60000,"Medium",
      IF(Table2[[#This Row],[Income]]&lt;=100000,"High",
         "Premium")))</f>
        <v>Low</v>
      </c>
    </row>
    <row r="164" spans="1:12" x14ac:dyDescent="0.35">
      <c r="A164" t="s">
        <v>349</v>
      </c>
      <c r="B164" s="2" t="s">
        <v>350</v>
      </c>
      <c r="C164" s="2" t="s">
        <v>17</v>
      </c>
      <c r="D164" s="3">
        <v>51</v>
      </c>
      <c r="E164" s="2" t="s">
        <v>30</v>
      </c>
      <c r="F164" s="2" t="s">
        <v>13</v>
      </c>
      <c r="G164" s="4">
        <v>40953</v>
      </c>
      <c r="H164" s="2" t="s">
        <v>14</v>
      </c>
      <c r="I164" s="1">
        <v>44789</v>
      </c>
      <c r="J164" t="str">
        <f ca="1">DATEDIF(Table2[[#This Row],[Join_Date]], TODAY(), "Y") &amp; "yrs"</f>
        <v>3yrs</v>
      </c>
      <c r="K164" t="str">
        <f>IF(Table2[[#This Row],[Age]]&lt;=19,"Teen",
   IF(Table2[[#This Row],[Age]]&lt;=35,"Young Adult",
      IF(Table2[[#This Row],[Age]]&lt;=55,"Middle-Age",
         "Old")))</f>
        <v>Middle-Age</v>
      </c>
      <c r="L164" t="str">
        <f>IF(Table2[[#This Row],[Income]]&lt;=30000,"Low",
   IF(Table2[[#This Row],[Income]]&lt;=60000,"Medium",
      IF(Table2[[#This Row],[Income]]&lt;=100000,"High",
         "Premium")))</f>
        <v>Medium</v>
      </c>
    </row>
    <row r="165" spans="1:12" x14ac:dyDescent="0.35">
      <c r="A165" t="s">
        <v>351</v>
      </c>
      <c r="B165" s="2" t="s">
        <v>352</v>
      </c>
      <c r="C165" s="2" t="s">
        <v>17</v>
      </c>
      <c r="D165" s="3">
        <v>69</v>
      </c>
      <c r="E165" s="2" t="s">
        <v>18</v>
      </c>
      <c r="F165" s="2" t="s">
        <v>42</v>
      </c>
      <c r="G165" s="4">
        <v>134682</v>
      </c>
      <c r="H165" s="2" t="s">
        <v>14</v>
      </c>
      <c r="I165" s="1">
        <v>44257</v>
      </c>
      <c r="J165" t="str">
        <f ca="1">DATEDIF(Table2[[#This Row],[Join_Date]], TODAY(), "Y") &amp; "yrs"</f>
        <v>4yrs</v>
      </c>
      <c r="K165" t="str">
        <f>IF(Table2[[#This Row],[Age]]&lt;=19,"Teen",
   IF(Table2[[#This Row],[Age]]&lt;=35,"Young Adult",
      IF(Table2[[#This Row],[Age]]&lt;=55,"Middle-Age",
         "Old")))</f>
        <v>Old</v>
      </c>
      <c r="L165" t="str">
        <f>IF(Table2[[#This Row],[Income]]&lt;=30000,"Low",
   IF(Table2[[#This Row],[Income]]&lt;=60000,"Medium",
      IF(Table2[[#This Row],[Income]]&lt;=100000,"High",
         "Premium")))</f>
        <v>Premium</v>
      </c>
    </row>
    <row r="166" spans="1:12" x14ac:dyDescent="0.35">
      <c r="A166" t="s">
        <v>353</v>
      </c>
      <c r="B166" s="2" t="s">
        <v>354</v>
      </c>
      <c r="C166" s="2" t="s">
        <v>17</v>
      </c>
      <c r="D166" s="3">
        <v>48</v>
      </c>
      <c r="E166" s="2" t="s">
        <v>18</v>
      </c>
      <c r="F166" s="2" t="s">
        <v>27</v>
      </c>
      <c r="G166" s="4">
        <v>87889</v>
      </c>
      <c r="H166" s="2" t="s">
        <v>14</v>
      </c>
      <c r="I166" s="1">
        <v>45172</v>
      </c>
      <c r="J166" t="str">
        <f ca="1">DATEDIF(Table2[[#This Row],[Join_Date]], TODAY(), "Y") &amp; "yrs"</f>
        <v>2yrs</v>
      </c>
      <c r="K166" t="str">
        <f>IF(Table2[[#This Row],[Age]]&lt;=19,"Teen",
   IF(Table2[[#This Row],[Age]]&lt;=35,"Young Adult",
      IF(Table2[[#This Row],[Age]]&lt;=55,"Middle-Age",
         "Old")))</f>
        <v>Middle-Age</v>
      </c>
      <c r="L166" t="str">
        <f>IF(Table2[[#This Row],[Income]]&lt;=30000,"Low",
   IF(Table2[[#This Row],[Income]]&lt;=60000,"Medium",
      IF(Table2[[#This Row],[Income]]&lt;=100000,"High",
         "Premium")))</f>
        <v>High</v>
      </c>
    </row>
    <row r="167" spans="1:12" x14ac:dyDescent="0.35">
      <c r="A167" t="s">
        <v>355</v>
      </c>
      <c r="B167" s="2" t="s">
        <v>356</v>
      </c>
      <c r="C167" s="2" t="s">
        <v>11</v>
      </c>
      <c r="D167" s="3">
        <v>27</v>
      </c>
      <c r="E167" s="2" t="s">
        <v>18</v>
      </c>
      <c r="F167" s="2" t="s">
        <v>31</v>
      </c>
      <c r="G167" s="4">
        <v>174893</v>
      </c>
      <c r="H167" s="2" t="s">
        <v>14</v>
      </c>
      <c r="I167" s="1">
        <v>42431</v>
      </c>
      <c r="J167" t="str">
        <f ca="1">DATEDIF(Table2[[#This Row],[Join_Date]], TODAY(), "Y") &amp; "yrs"</f>
        <v>9yrs</v>
      </c>
      <c r="K167" t="str">
        <f>IF(Table2[[#This Row],[Age]]&lt;=19,"Teen",
   IF(Table2[[#This Row],[Age]]&lt;=35,"Young Adult",
      IF(Table2[[#This Row],[Age]]&lt;=55,"Middle-Age",
         "Old")))</f>
        <v>Young Adult</v>
      </c>
      <c r="L167" t="str">
        <f>IF(Table2[[#This Row],[Income]]&lt;=30000,"Low",
   IF(Table2[[#This Row],[Income]]&lt;=60000,"Medium",
      IF(Table2[[#This Row],[Income]]&lt;=100000,"High",
         "Premium")))</f>
        <v>Premium</v>
      </c>
    </row>
    <row r="168" spans="1:12" x14ac:dyDescent="0.35">
      <c r="A168" t="s">
        <v>357</v>
      </c>
      <c r="B168" s="2" t="s">
        <v>358</v>
      </c>
      <c r="C168" s="2" t="s">
        <v>17</v>
      </c>
      <c r="D168" s="3">
        <v>36</v>
      </c>
      <c r="E168" s="2" t="s">
        <v>30</v>
      </c>
      <c r="F168" s="2" t="s">
        <v>37</v>
      </c>
      <c r="G168" s="4">
        <v>188639</v>
      </c>
      <c r="H168" s="2" t="s">
        <v>14</v>
      </c>
      <c r="I168" s="1">
        <v>45492</v>
      </c>
      <c r="J168" t="str">
        <f ca="1">DATEDIF(Table2[[#This Row],[Join_Date]], TODAY(), "Y") &amp; "yrs"</f>
        <v>1yrs</v>
      </c>
      <c r="K168" t="str">
        <f>IF(Table2[[#This Row],[Age]]&lt;=19,"Teen",
   IF(Table2[[#This Row],[Age]]&lt;=35,"Young Adult",
      IF(Table2[[#This Row],[Age]]&lt;=55,"Middle-Age",
         "Old")))</f>
        <v>Middle-Age</v>
      </c>
      <c r="L168" t="str">
        <f>IF(Table2[[#This Row],[Income]]&lt;=30000,"Low",
   IF(Table2[[#This Row],[Income]]&lt;=60000,"Medium",
      IF(Table2[[#This Row],[Income]]&lt;=100000,"High",
         "Premium")))</f>
        <v>Premium</v>
      </c>
    </row>
    <row r="169" spans="1:12" x14ac:dyDescent="0.35">
      <c r="A169" t="s">
        <v>359</v>
      </c>
      <c r="B169" s="2" t="s">
        <v>360</v>
      </c>
      <c r="C169" s="2" t="s">
        <v>11</v>
      </c>
      <c r="D169" s="3">
        <v>49</v>
      </c>
      <c r="E169" s="2" t="s">
        <v>34</v>
      </c>
      <c r="F169" s="2" t="s">
        <v>42</v>
      </c>
      <c r="G169" s="4">
        <v>135374</v>
      </c>
      <c r="H169" s="2" t="s">
        <v>14</v>
      </c>
      <c r="I169" s="1">
        <v>43786</v>
      </c>
      <c r="J169" t="str">
        <f ca="1">DATEDIF(Table2[[#This Row],[Join_Date]], TODAY(), "Y") &amp; "yrs"</f>
        <v>6yrs</v>
      </c>
      <c r="K169" t="str">
        <f>IF(Table2[[#This Row],[Age]]&lt;=19,"Teen",
   IF(Table2[[#This Row],[Age]]&lt;=35,"Young Adult",
      IF(Table2[[#This Row],[Age]]&lt;=55,"Middle-Age",
         "Old")))</f>
        <v>Middle-Age</v>
      </c>
      <c r="L169" t="str">
        <f>IF(Table2[[#This Row],[Income]]&lt;=30000,"Low",
   IF(Table2[[#This Row],[Income]]&lt;=60000,"Medium",
      IF(Table2[[#This Row],[Income]]&lt;=100000,"High",
         "Premium")))</f>
        <v>Premium</v>
      </c>
    </row>
    <row r="170" spans="1:12" x14ac:dyDescent="0.35">
      <c r="A170" t="s">
        <v>361</v>
      </c>
      <c r="B170" s="2" t="s">
        <v>362</v>
      </c>
      <c r="C170" s="2" t="s">
        <v>11</v>
      </c>
      <c r="D170" s="3">
        <v>18</v>
      </c>
      <c r="E170" s="2" t="s">
        <v>34</v>
      </c>
      <c r="F170" s="2" t="s">
        <v>27</v>
      </c>
      <c r="G170" s="4">
        <v>44860</v>
      </c>
      <c r="H170" s="2" t="s">
        <v>14</v>
      </c>
      <c r="I170" s="1">
        <v>45714</v>
      </c>
      <c r="J170" t="str">
        <f ca="1">DATEDIF(Table2[[#This Row],[Join_Date]], TODAY(), "Y") &amp; "yrs"</f>
        <v>0yrs</v>
      </c>
      <c r="K170" t="str">
        <f>IF(Table2[[#This Row],[Age]]&lt;=19,"Teen",
   IF(Table2[[#This Row],[Age]]&lt;=35,"Young Adult",
      IF(Table2[[#This Row],[Age]]&lt;=55,"Middle-Age",
         "Old")))</f>
        <v>Teen</v>
      </c>
      <c r="L170" t="str">
        <f>IF(Table2[[#This Row],[Income]]&lt;=30000,"Low",
   IF(Table2[[#This Row],[Income]]&lt;=60000,"Medium",
      IF(Table2[[#This Row],[Income]]&lt;=100000,"High",
         "Premium")))</f>
        <v>Medium</v>
      </c>
    </row>
    <row r="171" spans="1:12" x14ac:dyDescent="0.35">
      <c r="A171" t="s">
        <v>363</v>
      </c>
      <c r="B171" s="2" t="s">
        <v>364</v>
      </c>
      <c r="C171" s="2" t="s">
        <v>17</v>
      </c>
      <c r="D171" s="3">
        <v>73</v>
      </c>
      <c r="E171" s="2" t="s">
        <v>34</v>
      </c>
      <c r="F171" s="2" t="s">
        <v>13</v>
      </c>
      <c r="G171" s="4">
        <v>172267</v>
      </c>
      <c r="H171" s="2" t="s">
        <v>20</v>
      </c>
      <c r="I171" s="1">
        <v>44887</v>
      </c>
      <c r="J171" t="str">
        <f ca="1">DATEDIF(Table2[[#This Row],[Join_Date]], TODAY(), "Y") &amp; "yrs"</f>
        <v>3yrs</v>
      </c>
      <c r="K171" t="str">
        <f>IF(Table2[[#This Row],[Age]]&lt;=19,"Teen",
   IF(Table2[[#This Row],[Age]]&lt;=35,"Young Adult",
      IF(Table2[[#This Row],[Age]]&lt;=55,"Middle-Age",
         "Old")))</f>
        <v>Old</v>
      </c>
      <c r="L171" t="str">
        <f>IF(Table2[[#This Row],[Income]]&lt;=30000,"Low",
   IF(Table2[[#This Row],[Income]]&lt;=60000,"Medium",
      IF(Table2[[#This Row],[Income]]&lt;=100000,"High",
         "Premium")))</f>
        <v>Premium</v>
      </c>
    </row>
    <row r="172" spans="1:12" x14ac:dyDescent="0.35">
      <c r="A172" t="s">
        <v>365</v>
      </c>
      <c r="B172" s="2" t="s">
        <v>366</v>
      </c>
      <c r="C172" s="2" t="s">
        <v>17</v>
      </c>
      <c r="D172" s="3">
        <v>22</v>
      </c>
      <c r="E172" s="2" t="s">
        <v>30</v>
      </c>
      <c r="F172" s="2" t="s">
        <v>13</v>
      </c>
      <c r="G172" s="4">
        <v>97475</v>
      </c>
      <c r="H172" s="2" t="s">
        <v>14</v>
      </c>
      <c r="I172" s="1">
        <v>42532</v>
      </c>
      <c r="J172" t="str">
        <f ca="1">DATEDIF(Table2[[#This Row],[Join_Date]], TODAY(), "Y") &amp; "yrs"</f>
        <v>9yrs</v>
      </c>
      <c r="K172" t="str">
        <f>IF(Table2[[#This Row],[Age]]&lt;=19,"Teen",
   IF(Table2[[#This Row],[Age]]&lt;=35,"Young Adult",
      IF(Table2[[#This Row],[Age]]&lt;=55,"Middle-Age",
         "Old")))</f>
        <v>Young Adult</v>
      </c>
      <c r="L172" t="str">
        <f>IF(Table2[[#This Row],[Income]]&lt;=30000,"Low",
   IF(Table2[[#This Row],[Income]]&lt;=60000,"Medium",
      IF(Table2[[#This Row],[Income]]&lt;=100000,"High",
         "Premium")))</f>
        <v>High</v>
      </c>
    </row>
    <row r="173" spans="1:12" x14ac:dyDescent="0.35">
      <c r="A173" t="s">
        <v>367</v>
      </c>
      <c r="B173" s="2" t="s">
        <v>368</v>
      </c>
      <c r="C173" s="2" t="s">
        <v>11</v>
      </c>
      <c r="D173" s="3">
        <v>62</v>
      </c>
      <c r="E173" s="2" t="s">
        <v>18</v>
      </c>
      <c r="F173" s="2" t="s">
        <v>37</v>
      </c>
      <c r="G173" s="4">
        <v>107266</v>
      </c>
      <c r="H173" s="2" t="s">
        <v>14</v>
      </c>
      <c r="I173" s="1">
        <v>43988</v>
      </c>
      <c r="J173" t="str">
        <f ca="1">DATEDIF(Table2[[#This Row],[Join_Date]], TODAY(), "Y") &amp; "yrs"</f>
        <v>5yrs</v>
      </c>
      <c r="K173" t="str">
        <f>IF(Table2[[#This Row],[Age]]&lt;=19,"Teen",
   IF(Table2[[#This Row],[Age]]&lt;=35,"Young Adult",
      IF(Table2[[#This Row],[Age]]&lt;=55,"Middle-Age",
         "Old")))</f>
        <v>Old</v>
      </c>
      <c r="L173" t="str">
        <f>IF(Table2[[#This Row],[Income]]&lt;=30000,"Low",
   IF(Table2[[#This Row],[Income]]&lt;=60000,"Medium",
      IF(Table2[[#This Row],[Income]]&lt;=100000,"High",
         "Premium")))</f>
        <v>Premium</v>
      </c>
    </row>
    <row r="174" spans="1:12" x14ac:dyDescent="0.35">
      <c r="A174" t="s">
        <v>369</v>
      </c>
      <c r="B174" s="2" t="s">
        <v>370</v>
      </c>
      <c r="C174" s="2" t="s">
        <v>11</v>
      </c>
      <c r="D174" s="3">
        <v>21</v>
      </c>
      <c r="E174" s="2" t="s">
        <v>34</v>
      </c>
      <c r="F174" s="2" t="s">
        <v>19</v>
      </c>
      <c r="G174" s="4">
        <v>172499</v>
      </c>
      <c r="H174" s="2" t="s">
        <v>20</v>
      </c>
      <c r="I174" s="1">
        <v>44501</v>
      </c>
      <c r="J174" t="str">
        <f ca="1">DATEDIF(Table2[[#This Row],[Join_Date]], TODAY(), "Y") &amp; "yrs"</f>
        <v>4yrs</v>
      </c>
      <c r="K174" t="str">
        <f>IF(Table2[[#This Row],[Age]]&lt;=19,"Teen",
   IF(Table2[[#This Row],[Age]]&lt;=35,"Young Adult",
      IF(Table2[[#This Row],[Age]]&lt;=55,"Middle-Age",
         "Old")))</f>
        <v>Young Adult</v>
      </c>
      <c r="L174" t="str">
        <f>IF(Table2[[#This Row],[Income]]&lt;=30000,"Low",
   IF(Table2[[#This Row],[Income]]&lt;=60000,"Medium",
      IF(Table2[[#This Row],[Income]]&lt;=100000,"High",
         "Premium")))</f>
        <v>Premium</v>
      </c>
    </row>
    <row r="175" spans="1:12" x14ac:dyDescent="0.35">
      <c r="A175" t="s">
        <v>371</v>
      </c>
      <c r="B175" s="2" t="s">
        <v>372</v>
      </c>
      <c r="C175" s="2" t="s">
        <v>17</v>
      </c>
      <c r="D175" s="3">
        <v>33</v>
      </c>
      <c r="E175" s="2" t="s">
        <v>30</v>
      </c>
      <c r="F175" s="2" t="s">
        <v>42</v>
      </c>
      <c r="G175" s="4">
        <v>120732</v>
      </c>
      <c r="H175" s="2" t="s">
        <v>20</v>
      </c>
      <c r="I175" s="1">
        <v>43767</v>
      </c>
      <c r="J175" t="str">
        <f ca="1">DATEDIF(Table2[[#This Row],[Join_Date]], TODAY(), "Y") &amp; "yrs"</f>
        <v>6yrs</v>
      </c>
      <c r="K175" t="str">
        <f>IF(Table2[[#This Row],[Age]]&lt;=19,"Teen",
   IF(Table2[[#This Row],[Age]]&lt;=35,"Young Adult",
      IF(Table2[[#This Row],[Age]]&lt;=55,"Middle-Age",
         "Old")))</f>
        <v>Young Adult</v>
      </c>
      <c r="L175" t="str">
        <f>IF(Table2[[#This Row],[Income]]&lt;=30000,"Low",
   IF(Table2[[#This Row],[Income]]&lt;=60000,"Medium",
      IF(Table2[[#This Row],[Income]]&lt;=100000,"High",
         "Premium")))</f>
        <v>Premium</v>
      </c>
    </row>
    <row r="176" spans="1:12" x14ac:dyDescent="0.35">
      <c r="A176" t="s">
        <v>373</v>
      </c>
      <c r="B176" s="2" t="s">
        <v>374</v>
      </c>
      <c r="C176" s="2" t="s">
        <v>17</v>
      </c>
      <c r="D176" s="3">
        <v>41</v>
      </c>
      <c r="E176" s="2" t="s">
        <v>34</v>
      </c>
      <c r="F176" s="2" t="s">
        <v>23</v>
      </c>
      <c r="G176" s="4">
        <v>47083</v>
      </c>
      <c r="H176" s="2" t="s">
        <v>14</v>
      </c>
      <c r="I176" s="1">
        <v>43046</v>
      </c>
      <c r="J176" t="str">
        <f ca="1">DATEDIF(Table2[[#This Row],[Join_Date]], TODAY(), "Y") &amp; "yrs"</f>
        <v>8yrs</v>
      </c>
      <c r="K176" t="str">
        <f>IF(Table2[[#This Row],[Age]]&lt;=19,"Teen",
   IF(Table2[[#This Row],[Age]]&lt;=35,"Young Adult",
      IF(Table2[[#This Row],[Age]]&lt;=55,"Middle-Age",
         "Old")))</f>
        <v>Middle-Age</v>
      </c>
      <c r="L176" t="str">
        <f>IF(Table2[[#This Row],[Income]]&lt;=30000,"Low",
   IF(Table2[[#This Row],[Income]]&lt;=60000,"Medium",
      IF(Table2[[#This Row],[Income]]&lt;=100000,"High",
         "Premium")))</f>
        <v>Medium</v>
      </c>
    </row>
    <row r="177" spans="1:12" x14ac:dyDescent="0.35">
      <c r="A177" t="s">
        <v>375</v>
      </c>
      <c r="B177" s="2" t="s">
        <v>376</v>
      </c>
      <c r="C177" s="2" t="s">
        <v>17</v>
      </c>
      <c r="D177" s="3">
        <v>33</v>
      </c>
      <c r="E177" s="2" t="s">
        <v>12</v>
      </c>
      <c r="F177" s="2" t="s">
        <v>13</v>
      </c>
      <c r="G177" s="4">
        <v>77372</v>
      </c>
      <c r="H177" s="2" t="s">
        <v>14</v>
      </c>
      <c r="I177" s="1">
        <v>42292</v>
      </c>
      <c r="J177" t="str">
        <f ca="1">DATEDIF(Table2[[#This Row],[Join_Date]], TODAY(), "Y") &amp; "yrs"</f>
        <v>10yrs</v>
      </c>
      <c r="K177" t="str">
        <f>IF(Table2[[#This Row],[Age]]&lt;=19,"Teen",
   IF(Table2[[#This Row],[Age]]&lt;=35,"Young Adult",
      IF(Table2[[#This Row],[Age]]&lt;=55,"Middle-Age",
         "Old")))</f>
        <v>Young Adult</v>
      </c>
      <c r="L177" t="str">
        <f>IF(Table2[[#This Row],[Income]]&lt;=30000,"Low",
   IF(Table2[[#This Row],[Income]]&lt;=60000,"Medium",
      IF(Table2[[#This Row],[Income]]&lt;=100000,"High",
         "Premium")))</f>
        <v>High</v>
      </c>
    </row>
    <row r="178" spans="1:12" x14ac:dyDescent="0.35">
      <c r="A178" t="s">
        <v>377</v>
      </c>
      <c r="B178" s="2" t="s">
        <v>378</v>
      </c>
      <c r="C178" s="2" t="s">
        <v>11</v>
      </c>
      <c r="D178" s="3">
        <v>72</v>
      </c>
      <c r="E178" s="2" t="s">
        <v>34</v>
      </c>
      <c r="F178" s="2" t="s">
        <v>31</v>
      </c>
      <c r="G178" s="4">
        <v>143786</v>
      </c>
      <c r="H178" s="2" t="s">
        <v>14</v>
      </c>
      <c r="I178" s="1">
        <v>45538</v>
      </c>
      <c r="J178" t="str">
        <f ca="1">DATEDIF(Table2[[#This Row],[Join_Date]], TODAY(), "Y") &amp; "yrs"</f>
        <v>1yrs</v>
      </c>
      <c r="K178" t="str">
        <f>IF(Table2[[#This Row],[Age]]&lt;=19,"Teen",
   IF(Table2[[#This Row],[Age]]&lt;=35,"Young Adult",
      IF(Table2[[#This Row],[Age]]&lt;=55,"Middle-Age",
         "Old")))</f>
        <v>Old</v>
      </c>
      <c r="L178" t="str">
        <f>IF(Table2[[#This Row],[Income]]&lt;=30000,"Low",
   IF(Table2[[#This Row],[Income]]&lt;=60000,"Medium",
      IF(Table2[[#This Row],[Income]]&lt;=100000,"High",
         "Premium")))</f>
        <v>Premium</v>
      </c>
    </row>
    <row r="179" spans="1:12" x14ac:dyDescent="0.35">
      <c r="A179" t="s">
        <v>379</v>
      </c>
      <c r="B179" s="2" t="s">
        <v>380</v>
      </c>
      <c r="C179" s="2" t="s">
        <v>11</v>
      </c>
      <c r="D179" s="3">
        <v>19</v>
      </c>
      <c r="E179" s="2" t="s">
        <v>34</v>
      </c>
      <c r="F179" s="2" t="s">
        <v>31</v>
      </c>
      <c r="G179" s="4">
        <v>195136</v>
      </c>
      <c r="H179" s="2" t="s">
        <v>20</v>
      </c>
      <c r="I179" s="1">
        <v>45642</v>
      </c>
      <c r="J179" t="str">
        <f ca="1">DATEDIF(Table2[[#This Row],[Join_Date]], TODAY(), "Y") &amp; "yrs"</f>
        <v>1yrs</v>
      </c>
      <c r="K179" t="str">
        <f>IF(Table2[[#This Row],[Age]]&lt;=19,"Teen",
   IF(Table2[[#This Row],[Age]]&lt;=35,"Young Adult",
      IF(Table2[[#This Row],[Age]]&lt;=55,"Middle-Age",
         "Old")))</f>
        <v>Teen</v>
      </c>
      <c r="L179" t="str">
        <f>IF(Table2[[#This Row],[Income]]&lt;=30000,"Low",
   IF(Table2[[#This Row],[Income]]&lt;=60000,"Medium",
      IF(Table2[[#This Row],[Income]]&lt;=100000,"High",
         "Premium")))</f>
        <v>Premium</v>
      </c>
    </row>
    <row r="180" spans="1:12" x14ac:dyDescent="0.35">
      <c r="A180" t="s">
        <v>381</v>
      </c>
      <c r="B180" s="2" t="s">
        <v>382</v>
      </c>
      <c r="C180" s="2" t="s">
        <v>11</v>
      </c>
      <c r="D180" s="3">
        <v>66</v>
      </c>
      <c r="E180" s="2" t="s">
        <v>18</v>
      </c>
      <c r="F180" s="2" t="s">
        <v>13</v>
      </c>
      <c r="G180" s="4">
        <v>27813</v>
      </c>
      <c r="H180" s="2" t="s">
        <v>24</v>
      </c>
      <c r="I180" s="1">
        <v>42803</v>
      </c>
      <c r="J180" t="str">
        <f ca="1">DATEDIF(Table2[[#This Row],[Join_Date]], TODAY(), "Y") &amp; "yrs"</f>
        <v>8yrs</v>
      </c>
      <c r="K180" t="str">
        <f>IF(Table2[[#This Row],[Age]]&lt;=19,"Teen",
   IF(Table2[[#This Row],[Age]]&lt;=35,"Young Adult",
      IF(Table2[[#This Row],[Age]]&lt;=55,"Middle-Age",
         "Old")))</f>
        <v>Old</v>
      </c>
      <c r="L180" t="str">
        <f>IF(Table2[[#This Row],[Income]]&lt;=30000,"Low",
   IF(Table2[[#This Row],[Income]]&lt;=60000,"Medium",
      IF(Table2[[#This Row],[Income]]&lt;=100000,"High",
         "Premium")))</f>
        <v>Low</v>
      </c>
    </row>
    <row r="181" spans="1:12" x14ac:dyDescent="0.35">
      <c r="A181" t="s">
        <v>383</v>
      </c>
      <c r="B181" s="2" t="s">
        <v>384</v>
      </c>
      <c r="C181" s="2" t="s">
        <v>11</v>
      </c>
      <c r="D181" s="3">
        <v>45</v>
      </c>
      <c r="E181" s="2" t="s">
        <v>30</v>
      </c>
      <c r="F181" s="2" t="s">
        <v>19</v>
      </c>
      <c r="G181" s="4">
        <v>51598</v>
      </c>
      <c r="H181" s="2" t="s">
        <v>20</v>
      </c>
      <c r="I181" s="1">
        <v>45704</v>
      </c>
      <c r="J181" t="str">
        <f ca="1">DATEDIF(Table2[[#This Row],[Join_Date]], TODAY(), "Y") &amp; "yrs"</f>
        <v>0yrs</v>
      </c>
      <c r="K181" t="str">
        <f>IF(Table2[[#This Row],[Age]]&lt;=19,"Teen",
   IF(Table2[[#This Row],[Age]]&lt;=35,"Young Adult",
      IF(Table2[[#This Row],[Age]]&lt;=55,"Middle-Age",
         "Old")))</f>
        <v>Middle-Age</v>
      </c>
      <c r="L181" t="str">
        <f>IF(Table2[[#This Row],[Income]]&lt;=30000,"Low",
   IF(Table2[[#This Row],[Income]]&lt;=60000,"Medium",
      IF(Table2[[#This Row],[Income]]&lt;=100000,"High",
         "Premium")))</f>
        <v>Medium</v>
      </c>
    </row>
    <row r="182" spans="1:12" x14ac:dyDescent="0.35">
      <c r="A182" t="s">
        <v>385</v>
      </c>
      <c r="B182" s="2" t="s">
        <v>386</v>
      </c>
      <c r="C182" s="2" t="s">
        <v>11</v>
      </c>
      <c r="D182" s="3">
        <v>49</v>
      </c>
      <c r="E182" s="2" t="s">
        <v>18</v>
      </c>
      <c r="F182" s="2" t="s">
        <v>19</v>
      </c>
      <c r="G182" s="4">
        <v>113106</v>
      </c>
      <c r="H182" s="2" t="s">
        <v>14</v>
      </c>
      <c r="I182" s="1">
        <v>42387</v>
      </c>
      <c r="J182" t="str">
        <f ca="1">DATEDIF(Table2[[#This Row],[Join_Date]], TODAY(), "Y") &amp; "yrs"</f>
        <v>10yrs</v>
      </c>
      <c r="K182" t="str">
        <f>IF(Table2[[#This Row],[Age]]&lt;=19,"Teen",
   IF(Table2[[#This Row],[Age]]&lt;=35,"Young Adult",
      IF(Table2[[#This Row],[Age]]&lt;=55,"Middle-Age",
         "Old")))</f>
        <v>Middle-Age</v>
      </c>
      <c r="L182" t="str">
        <f>IF(Table2[[#This Row],[Income]]&lt;=30000,"Low",
   IF(Table2[[#This Row],[Income]]&lt;=60000,"Medium",
      IF(Table2[[#This Row],[Income]]&lt;=100000,"High",
         "Premium")))</f>
        <v>Premium</v>
      </c>
    </row>
    <row r="183" spans="1:12" x14ac:dyDescent="0.35">
      <c r="A183" t="s">
        <v>387</v>
      </c>
      <c r="B183" s="2" t="s">
        <v>388</v>
      </c>
      <c r="C183" s="2" t="s">
        <v>11</v>
      </c>
      <c r="D183" s="3">
        <v>44</v>
      </c>
      <c r="E183" s="2" t="s">
        <v>18</v>
      </c>
      <c r="F183" s="2" t="s">
        <v>27</v>
      </c>
      <c r="G183" s="4">
        <v>47082</v>
      </c>
      <c r="H183" s="2" t="s">
        <v>20</v>
      </c>
      <c r="I183" s="1">
        <v>45843</v>
      </c>
      <c r="J183" t="str">
        <f ca="1">DATEDIF(Table2[[#This Row],[Join_Date]], TODAY(), "Y") &amp; "yrs"</f>
        <v>0yrs</v>
      </c>
      <c r="K183" t="str">
        <f>IF(Table2[[#This Row],[Age]]&lt;=19,"Teen",
   IF(Table2[[#This Row],[Age]]&lt;=35,"Young Adult",
      IF(Table2[[#This Row],[Age]]&lt;=55,"Middle-Age",
         "Old")))</f>
        <v>Middle-Age</v>
      </c>
      <c r="L183" t="str">
        <f>IF(Table2[[#This Row],[Income]]&lt;=30000,"Low",
   IF(Table2[[#This Row],[Income]]&lt;=60000,"Medium",
      IF(Table2[[#This Row],[Income]]&lt;=100000,"High",
         "Premium")))</f>
        <v>Medium</v>
      </c>
    </row>
    <row r="184" spans="1:12" x14ac:dyDescent="0.35">
      <c r="A184" t="s">
        <v>389</v>
      </c>
      <c r="B184" s="2" t="s">
        <v>390</v>
      </c>
      <c r="C184" s="2" t="s">
        <v>17</v>
      </c>
      <c r="D184" s="3">
        <v>37</v>
      </c>
      <c r="E184" s="2" t="s">
        <v>18</v>
      </c>
      <c r="F184" s="2" t="s">
        <v>31</v>
      </c>
      <c r="G184" s="4">
        <v>49241</v>
      </c>
      <c r="H184" s="2" t="s">
        <v>14</v>
      </c>
      <c r="I184" s="1">
        <v>43202</v>
      </c>
      <c r="J184" t="str">
        <f ca="1">DATEDIF(Table2[[#This Row],[Join_Date]], TODAY(), "Y") &amp; "yrs"</f>
        <v>7yrs</v>
      </c>
      <c r="K184" t="str">
        <f>IF(Table2[[#This Row],[Age]]&lt;=19,"Teen",
   IF(Table2[[#This Row],[Age]]&lt;=35,"Young Adult",
      IF(Table2[[#This Row],[Age]]&lt;=55,"Middle-Age",
         "Old")))</f>
        <v>Middle-Age</v>
      </c>
      <c r="L184" t="str">
        <f>IF(Table2[[#This Row],[Income]]&lt;=30000,"Low",
   IF(Table2[[#This Row],[Income]]&lt;=60000,"Medium",
      IF(Table2[[#This Row],[Income]]&lt;=100000,"High",
         "Premium")))</f>
        <v>Medium</v>
      </c>
    </row>
    <row r="185" spans="1:12" x14ac:dyDescent="0.35">
      <c r="A185" t="s">
        <v>391</v>
      </c>
      <c r="B185" s="2" t="s">
        <v>392</v>
      </c>
      <c r="C185" s="2" t="s">
        <v>11</v>
      </c>
      <c r="D185" s="3">
        <v>41</v>
      </c>
      <c r="E185" s="2" t="s">
        <v>18</v>
      </c>
      <c r="F185" s="2" t="s">
        <v>27</v>
      </c>
      <c r="G185" s="4">
        <v>195641</v>
      </c>
      <c r="H185" s="2" t="s">
        <v>14</v>
      </c>
      <c r="I185" s="1">
        <v>44775</v>
      </c>
      <c r="J185" t="str">
        <f ca="1">DATEDIF(Table2[[#This Row],[Join_Date]], TODAY(), "Y") &amp; "yrs"</f>
        <v>3yrs</v>
      </c>
      <c r="K185" t="str">
        <f>IF(Table2[[#This Row],[Age]]&lt;=19,"Teen",
   IF(Table2[[#This Row],[Age]]&lt;=35,"Young Adult",
      IF(Table2[[#This Row],[Age]]&lt;=55,"Middle-Age",
         "Old")))</f>
        <v>Middle-Age</v>
      </c>
      <c r="L185" t="str">
        <f>IF(Table2[[#This Row],[Income]]&lt;=30000,"Low",
   IF(Table2[[#This Row],[Income]]&lt;=60000,"Medium",
      IF(Table2[[#This Row],[Income]]&lt;=100000,"High",
         "Premium")))</f>
        <v>Premium</v>
      </c>
    </row>
    <row r="186" spans="1:12" x14ac:dyDescent="0.35">
      <c r="A186" t="s">
        <v>393</v>
      </c>
      <c r="B186" s="2" t="s">
        <v>394</v>
      </c>
      <c r="C186" s="2" t="s">
        <v>11</v>
      </c>
      <c r="D186" s="3">
        <v>29</v>
      </c>
      <c r="E186" s="2" t="s">
        <v>18</v>
      </c>
      <c r="F186" s="2" t="s">
        <v>31</v>
      </c>
      <c r="G186" s="4">
        <v>31745</v>
      </c>
      <c r="H186" s="2" t="s">
        <v>14</v>
      </c>
      <c r="I186" s="1">
        <v>45422</v>
      </c>
      <c r="J186" t="str">
        <f ca="1">DATEDIF(Table2[[#This Row],[Join_Date]], TODAY(), "Y") &amp; "yrs"</f>
        <v>1yrs</v>
      </c>
      <c r="K186" t="str">
        <f>IF(Table2[[#This Row],[Age]]&lt;=19,"Teen",
   IF(Table2[[#This Row],[Age]]&lt;=35,"Young Adult",
      IF(Table2[[#This Row],[Age]]&lt;=55,"Middle-Age",
         "Old")))</f>
        <v>Young Adult</v>
      </c>
      <c r="L186" t="str">
        <f>IF(Table2[[#This Row],[Income]]&lt;=30000,"Low",
   IF(Table2[[#This Row],[Income]]&lt;=60000,"Medium",
      IF(Table2[[#This Row],[Income]]&lt;=100000,"High",
         "Premium")))</f>
        <v>Medium</v>
      </c>
    </row>
    <row r="187" spans="1:12" x14ac:dyDescent="0.35">
      <c r="A187" t="s">
        <v>395</v>
      </c>
      <c r="B187" s="2" t="s">
        <v>396</v>
      </c>
      <c r="C187" s="2" t="s">
        <v>11</v>
      </c>
      <c r="D187" s="3">
        <v>67</v>
      </c>
      <c r="E187" s="2" t="s">
        <v>34</v>
      </c>
      <c r="F187" s="2" t="s">
        <v>42</v>
      </c>
      <c r="G187" s="4">
        <v>46029</v>
      </c>
      <c r="H187" s="2" t="s">
        <v>24</v>
      </c>
      <c r="I187" s="1">
        <v>42881</v>
      </c>
      <c r="J187" t="str">
        <f ca="1">DATEDIF(Table2[[#This Row],[Join_Date]], TODAY(), "Y") &amp; "yrs"</f>
        <v>8yrs</v>
      </c>
      <c r="K187" t="str">
        <f>IF(Table2[[#This Row],[Age]]&lt;=19,"Teen",
   IF(Table2[[#This Row],[Age]]&lt;=35,"Young Adult",
      IF(Table2[[#This Row],[Age]]&lt;=55,"Middle-Age",
         "Old")))</f>
        <v>Old</v>
      </c>
      <c r="L187" t="str">
        <f>IF(Table2[[#This Row],[Income]]&lt;=30000,"Low",
   IF(Table2[[#This Row],[Income]]&lt;=60000,"Medium",
      IF(Table2[[#This Row],[Income]]&lt;=100000,"High",
         "Premium")))</f>
        <v>Medium</v>
      </c>
    </row>
    <row r="188" spans="1:12" x14ac:dyDescent="0.35">
      <c r="A188" t="s">
        <v>397</v>
      </c>
      <c r="B188" s="2" t="s">
        <v>398</v>
      </c>
      <c r="C188" s="2" t="s">
        <v>17</v>
      </c>
      <c r="D188" s="3">
        <v>52</v>
      </c>
      <c r="E188" s="2" t="s">
        <v>18</v>
      </c>
      <c r="F188" s="2" t="s">
        <v>42</v>
      </c>
      <c r="G188" s="4">
        <v>164097</v>
      </c>
      <c r="H188" s="2" t="s">
        <v>14</v>
      </c>
      <c r="I188" s="1">
        <v>45101</v>
      </c>
      <c r="J188" t="str">
        <f ca="1">DATEDIF(Table2[[#This Row],[Join_Date]], TODAY(), "Y") &amp; "yrs"</f>
        <v>2yrs</v>
      </c>
      <c r="K188" t="str">
        <f>IF(Table2[[#This Row],[Age]]&lt;=19,"Teen",
   IF(Table2[[#This Row],[Age]]&lt;=35,"Young Adult",
      IF(Table2[[#This Row],[Age]]&lt;=55,"Middle-Age",
         "Old")))</f>
        <v>Middle-Age</v>
      </c>
      <c r="L188" t="str">
        <f>IF(Table2[[#This Row],[Income]]&lt;=30000,"Low",
   IF(Table2[[#This Row],[Income]]&lt;=60000,"Medium",
      IF(Table2[[#This Row],[Income]]&lt;=100000,"High",
         "Premium")))</f>
        <v>Premium</v>
      </c>
    </row>
    <row r="189" spans="1:12" x14ac:dyDescent="0.35">
      <c r="A189" t="s">
        <v>399</v>
      </c>
      <c r="B189" s="2" t="s">
        <v>400</v>
      </c>
      <c r="C189" s="2" t="s">
        <v>11</v>
      </c>
      <c r="D189" s="3">
        <v>50</v>
      </c>
      <c r="E189" s="2" t="s">
        <v>18</v>
      </c>
      <c r="F189" s="2" t="s">
        <v>23</v>
      </c>
      <c r="G189" s="4">
        <v>143395</v>
      </c>
      <c r="H189" s="2" t="s">
        <v>20</v>
      </c>
      <c r="I189" s="1">
        <v>45211</v>
      </c>
      <c r="J189" t="str">
        <f ca="1">DATEDIF(Table2[[#This Row],[Join_Date]], TODAY(), "Y") &amp; "yrs"</f>
        <v>2yrs</v>
      </c>
      <c r="K189" t="str">
        <f>IF(Table2[[#This Row],[Age]]&lt;=19,"Teen",
   IF(Table2[[#This Row],[Age]]&lt;=35,"Young Adult",
      IF(Table2[[#This Row],[Age]]&lt;=55,"Middle-Age",
         "Old")))</f>
        <v>Middle-Age</v>
      </c>
      <c r="L189" t="str">
        <f>IF(Table2[[#This Row],[Income]]&lt;=30000,"Low",
   IF(Table2[[#This Row],[Income]]&lt;=60000,"Medium",
      IF(Table2[[#This Row],[Income]]&lt;=100000,"High",
         "Premium")))</f>
        <v>Premium</v>
      </c>
    </row>
    <row r="190" spans="1:12" x14ac:dyDescent="0.35">
      <c r="A190" t="s">
        <v>401</v>
      </c>
      <c r="B190" s="2" t="s">
        <v>402</v>
      </c>
      <c r="C190" s="2" t="s">
        <v>11</v>
      </c>
      <c r="D190" s="3">
        <v>50</v>
      </c>
      <c r="E190" s="2" t="s">
        <v>30</v>
      </c>
      <c r="F190" s="2" t="s">
        <v>42</v>
      </c>
      <c r="G190" s="4">
        <v>165360</v>
      </c>
      <c r="H190" s="2" t="s">
        <v>14</v>
      </c>
      <c r="I190" s="1">
        <v>45535</v>
      </c>
      <c r="J190" t="str">
        <f ca="1">DATEDIF(Table2[[#This Row],[Join_Date]], TODAY(), "Y") &amp; "yrs"</f>
        <v>1yrs</v>
      </c>
      <c r="K190" t="str">
        <f>IF(Table2[[#This Row],[Age]]&lt;=19,"Teen",
   IF(Table2[[#This Row],[Age]]&lt;=35,"Young Adult",
      IF(Table2[[#This Row],[Age]]&lt;=55,"Middle-Age",
         "Old")))</f>
        <v>Middle-Age</v>
      </c>
      <c r="L190" t="str">
        <f>IF(Table2[[#This Row],[Income]]&lt;=30000,"Low",
   IF(Table2[[#This Row],[Income]]&lt;=60000,"Medium",
      IF(Table2[[#This Row],[Income]]&lt;=100000,"High",
         "Premium")))</f>
        <v>Premium</v>
      </c>
    </row>
    <row r="191" spans="1:12" x14ac:dyDescent="0.35">
      <c r="A191" t="s">
        <v>403</v>
      </c>
      <c r="B191" s="2" t="s">
        <v>404</v>
      </c>
      <c r="C191" s="2" t="s">
        <v>17</v>
      </c>
      <c r="D191" s="3">
        <v>68</v>
      </c>
      <c r="E191" s="2" t="s">
        <v>12</v>
      </c>
      <c r="F191" s="2" t="s">
        <v>23</v>
      </c>
      <c r="G191" s="4">
        <v>109186</v>
      </c>
      <c r="H191" s="2" t="s">
        <v>14</v>
      </c>
      <c r="I191" s="1">
        <v>43008</v>
      </c>
      <c r="J191" t="str">
        <f ca="1">DATEDIF(Table2[[#This Row],[Join_Date]], TODAY(), "Y") &amp; "yrs"</f>
        <v>8yrs</v>
      </c>
      <c r="K191" t="str">
        <f>IF(Table2[[#This Row],[Age]]&lt;=19,"Teen",
   IF(Table2[[#This Row],[Age]]&lt;=35,"Young Adult",
      IF(Table2[[#This Row],[Age]]&lt;=55,"Middle-Age",
         "Old")))</f>
        <v>Old</v>
      </c>
      <c r="L191" t="str">
        <f>IF(Table2[[#This Row],[Income]]&lt;=30000,"Low",
   IF(Table2[[#This Row],[Income]]&lt;=60000,"Medium",
      IF(Table2[[#This Row],[Income]]&lt;=100000,"High",
         "Premium")))</f>
        <v>Premium</v>
      </c>
    </row>
    <row r="192" spans="1:12" x14ac:dyDescent="0.35">
      <c r="A192" t="s">
        <v>405</v>
      </c>
      <c r="B192" s="2" t="s">
        <v>406</v>
      </c>
      <c r="C192" s="2" t="s">
        <v>11</v>
      </c>
      <c r="D192" s="3">
        <v>60</v>
      </c>
      <c r="E192" s="2" t="s">
        <v>34</v>
      </c>
      <c r="F192" s="2" t="s">
        <v>42</v>
      </c>
      <c r="G192" s="4">
        <v>157612</v>
      </c>
      <c r="H192" s="2" t="s">
        <v>14</v>
      </c>
      <c r="I192" s="1">
        <v>43780</v>
      </c>
      <c r="J192" t="str">
        <f ca="1">DATEDIF(Table2[[#This Row],[Join_Date]], TODAY(), "Y") &amp; "yrs"</f>
        <v>6yrs</v>
      </c>
      <c r="K192" t="str">
        <f>IF(Table2[[#This Row],[Age]]&lt;=19,"Teen",
   IF(Table2[[#This Row],[Age]]&lt;=35,"Young Adult",
      IF(Table2[[#This Row],[Age]]&lt;=55,"Middle-Age",
         "Old")))</f>
        <v>Old</v>
      </c>
      <c r="L192" t="str">
        <f>IF(Table2[[#This Row],[Income]]&lt;=30000,"Low",
   IF(Table2[[#This Row],[Income]]&lt;=60000,"Medium",
      IF(Table2[[#This Row],[Income]]&lt;=100000,"High",
         "Premium")))</f>
        <v>Premium</v>
      </c>
    </row>
    <row r="193" spans="1:12" x14ac:dyDescent="0.35">
      <c r="A193" t="s">
        <v>407</v>
      </c>
      <c r="B193" s="2" t="s">
        <v>408</v>
      </c>
      <c r="C193" s="2" t="s">
        <v>11</v>
      </c>
      <c r="D193" s="3">
        <v>54</v>
      </c>
      <c r="E193" s="2" t="s">
        <v>34</v>
      </c>
      <c r="F193" s="2" t="s">
        <v>37</v>
      </c>
      <c r="G193" s="4">
        <v>117768</v>
      </c>
      <c r="H193" s="2" t="s">
        <v>14</v>
      </c>
      <c r="I193" s="1">
        <v>45891</v>
      </c>
      <c r="J193" t="str">
        <f ca="1">DATEDIF(Table2[[#This Row],[Join_Date]], TODAY(), "Y") &amp; "yrs"</f>
        <v>0yrs</v>
      </c>
      <c r="K193" t="str">
        <f>IF(Table2[[#This Row],[Age]]&lt;=19,"Teen",
   IF(Table2[[#This Row],[Age]]&lt;=35,"Young Adult",
      IF(Table2[[#This Row],[Age]]&lt;=55,"Middle-Age",
         "Old")))</f>
        <v>Middle-Age</v>
      </c>
      <c r="L193" t="str">
        <f>IF(Table2[[#This Row],[Income]]&lt;=30000,"Low",
   IF(Table2[[#This Row],[Income]]&lt;=60000,"Medium",
      IF(Table2[[#This Row],[Income]]&lt;=100000,"High",
         "Premium")))</f>
        <v>Premium</v>
      </c>
    </row>
    <row r="194" spans="1:12" x14ac:dyDescent="0.35">
      <c r="A194" t="s">
        <v>409</v>
      </c>
      <c r="B194" s="2" t="s">
        <v>410</v>
      </c>
      <c r="C194" s="2" t="s">
        <v>11</v>
      </c>
      <c r="D194" s="3">
        <v>29</v>
      </c>
      <c r="E194" s="2" t="s">
        <v>34</v>
      </c>
      <c r="F194" s="2" t="s">
        <v>42</v>
      </c>
      <c r="G194" s="4">
        <v>61846</v>
      </c>
      <c r="H194" s="2" t="s">
        <v>20</v>
      </c>
      <c r="I194" s="1">
        <v>44169</v>
      </c>
      <c r="J194" t="str">
        <f ca="1">DATEDIF(Table2[[#This Row],[Join_Date]], TODAY(), "Y") &amp; "yrs"</f>
        <v>5yrs</v>
      </c>
      <c r="K194" t="str">
        <f>IF(Table2[[#This Row],[Age]]&lt;=19,"Teen",
   IF(Table2[[#This Row],[Age]]&lt;=35,"Young Adult",
      IF(Table2[[#This Row],[Age]]&lt;=55,"Middle-Age",
         "Old")))</f>
        <v>Young Adult</v>
      </c>
      <c r="L194" t="str">
        <f>IF(Table2[[#This Row],[Income]]&lt;=30000,"Low",
   IF(Table2[[#This Row],[Income]]&lt;=60000,"Medium",
      IF(Table2[[#This Row],[Income]]&lt;=100000,"High",
         "Premium")))</f>
        <v>High</v>
      </c>
    </row>
    <row r="195" spans="1:12" x14ac:dyDescent="0.35">
      <c r="A195" t="s">
        <v>411</v>
      </c>
      <c r="B195" s="2" t="s">
        <v>412</v>
      </c>
      <c r="C195" s="2" t="s">
        <v>11</v>
      </c>
      <c r="D195" s="3">
        <v>20</v>
      </c>
      <c r="E195" s="2" t="s">
        <v>18</v>
      </c>
      <c r="F195" s="2" t="s">
        <v>27</v>
      </c>
      <c r="G195" s="4">
        <v>95932</v>
      </c>
      <c r="H195" s="2" t="s">
        <v>14</v>
      </c>
      <c r="I195" s="1">
        <v>45446</v>
      </c>
      <c r="J195" t="str">
        <f ca="1">DATEDIF(Table2[[#This Row],[Join_Date]], TODAY(), "Y") &amp; "yrs"</f>
        <v>1yrs</v>
      </c>
      <c r="K195" t="str">
        <f>IF(Table2[[#This Row],[Age]]&lt;=19,"Teen",
   IF(Table2[[#This Row],[Age]]&lt;=35,"Young Adult",
      IF(Table2[[#This Row],[Age]]&lt;=55,"Middle-Age",
         "Old")))</f>
        <v>Young Adult</v>
      </c>
      <c r="L195" t="str">
        <f>IF(Table2[[#This Row],[Income]]&lt;=30000,"Low",
   IF(Table2[[#This Row],[Income]]&lt;=60000,"Medium",
      IF(Table2[[#This Row],[Income]]&lt;=100000,"High",
         "Premium")))</f>
        <v>High</v>
      </c>
    </row>
    <row r="196" spans="1:12" x14ac:dyDescent="0.35">
      <c r="A196" t="s">
        <v>413</v>
      </c>
      <c r="B196" s="2" t="s">
        <v>414</v>
      </c>
      <c r="C196" s="2" t="s">
        <v>11</v>
      </c>
      <c r="D196" s="3">
        <v>18</v>
      </c>
      <c r="E196" s="2" t="s">
        <v>18</v>
      </c>
      <c r="F196" s="2" t="s">
        <v>13</v>
      </c>
      <c r="G196" s="4">
        <v>168554</v>
      </c>
      <c r="H196" s="2" t="s">
        <v>20</v>
      </c>
      <c r="I196" s="1">
        <v>42269</v>
      </c>
      <c r="J196" t="str">
        <f ca="1">DATEDIF(Table2[[#This Row],[Join_Date]], TODAY(), "Y") &amp; "yrs"</f>
        <v>10yrs</v>
      </c>
      <c r="K196" t="str">
        <f>IF(Table2[[#This Row],[Age]]&lt;=19,"Teen",
   IF(Table2[[#This Row],[Age]]&lt;=35,"Young Adult",
      IF(Table2[[#This Row],[Age]]&lt;=55,"Middle-Age",
         "Old")))</f>
        <v>Teen</v>
      </c>
      <c r="L196" t="str">
        <f>IF(Table2[[#This Row],[Income]]&lt;=30000,"Low",
   IF(Table2[[#This Row],[Income]]&lt;=60000,"Medium",
      IF(Table2[[#This Row],[Income]]&lt;=100000,"High",
         "Premium")))</f>
        <v>Premium</v>
      </c>
    </row>
    <row r="197" spans="1:12" x14ac:dyDescent="0.35">
      <c r="A197" t="s">
        <v>415</v>
      </c>
      <c r="B197" s="2" t="s">
        <v>416</v>
      </c>
      <c r="C197" s="2" t="s">
        <v>17</v>
      </c>
      <c r="D197" s="3">
        <v>50</v>
      </c>
      <c r="E197" s="2" t="s">
        <v>18</v>
      </c>
      <c r="F197" s="2" t="s">
        <v>27</v>
      </c>
      <c r="G197" s="4">
        <v>43411</v>
      </c>
      <c r="H197" s="2" t="s">
        <v>20</v>
      </c>
      <c r="I197" s="1">
        <v>43612</v>
      </c>
      <c r="J197" t="str">
        <f ca="1">DATEDIF(Table2[[#This Row],[Join_Date]], TODAY(), "Y") &amp; "yrs"</f>
        <v>6yrs</v>
      </c>
      <c r="K197" t="str">
        <f>IF(Table2[[#This Row],[Age]]&lt;=19,"Teen",
   IF(Table2[[#This Row],[Age]]&lt;=35,"Young Adult",
      IF(Table2[[#This Row],[Age]]&lt;=55,"Middle-Age",
         "Old")))</f>
        <v>Middle-Age</v>
      </c>
      <c r="L197" t="str">
        <f>IF(Table2[[#This Row],[Income]]&lt;=30000,"Low",
   IF(Table2[[#This Row],[Income]]&lt;=60000,"Medium",
      IF(Table2[[#This Row],[Income]]&lt;=100000,"High",
         "Premium")))</f>
        <v>Medium</v>
      </c>
    </row>
    <row r="198" spans="1:12" x14ac:dyDescent="0.35">
      <c r="A198" t="s">
        <v>417</v>
      </c>
      <c r="B198" s="2" t="s">
        <v>418</v>
      </c>
      <c r="C198" s="2" t="s">
        <v>17</v>
      </c>
      <c r="D198" s="3">
        <v>57</v>
      </c>
      <c r="E198" s="2" t="s">
        <v>30</v>
      </c>
      <c r="F198" s="2" t="s">
        <v>13</v>
      </c>
      <c r="G198" s="4">
        <v>98797</v>
      </c>
      <c r="H198" s="2" t="s">
        <v>24</v>
      </c>
      <c r="I198" s="1">
        <v>42402</v>
      </c>
      <c r="J198" t="str">
        <f ca="1">DATEDIF(Table2[[#This Row],[Join_Date]], TODAY(), "Y") &amp; "yrs"</f>
        <v>9yrs</v>
      </c>
      <c r="K198" t="str">
        <f>IF(Table2[[#This Row],[Age]]&lt;=19,"Teen",
   IF(Table2[[#This Row],[Age]]&lt;=35,"Young Adult",
      IF(Table2[[#This Row],[Age]]&lt;=55,"Middle-Age",
         "Old")))</f>
        <v>Old</v>
      </c>
      <c r="L198" t="str">
        <f>IF(Table2[[#This Row],[Income]]&lt;=30000,"Low",
   IF(Table2[[#This Row],[Income]]&lt;=60000,"Medium",
      IF(Table2[[#This Row],[Income]]&lt;=100000,"High",
         "Premium")))</f>
        <v>High</v>
      </c>
    </row>
    <row r="199" spans="1:12" x14ac:dyDescent="0.35">
      <c r="A199" t="s">
        <v>419</v>
      </c>
      <c r="B199" s="2" t="s">
        <v>420</v>
      </c>
      <c r="C199" s="2" t="s">
        <v>17</v>
      </c>
      <c r="D199" s="3">
        <v>27</v>
      </c>
      <c r="E199" s="2" t="s">
        <v>12</v>
      </c>
      <c r="F199" s="2" t="s">
        <v>19</v>
      </c>
      <c r="G199" s="4">
        <v>72307</v>
      </c>
      <c r="H199" s="2" t="s">
        <v>14</v>
      </c>
      <c r="I199" s="1">
        <v>43945</v>
      </c>
      <c r="J199" t="str">
        <f ca="1">DATEDIF(Table2[[#This Row],[Join_Date]], TODAY(), "Y") &amp; "yrs"</f>
        <v>5yrs</v>
      </c>
      <c r="K199" t="str">
        <f>IF(Table2[[#This Row],[Age]]&lt;=19,"Teen",
   IF(Table2[[#This Row],[Age]]&lt;=35,"Young Adult",
      IF(Table2[[#This Row],[Age]]&lt;=55,"Middle-Age",
         "Old")))</f>
        <v>Young Adult</v>
      </c>
      <c r="L199" t="str">
        <f>IF(Table2[[#This Row],[Income]]&lt;=30000,"Low",
   IF(Table2[[#This Row],[Income]]&lt;=60000,"Medium",
      IF(Table2[[#This Row],[Income]]&lt;=100000,"High",
         "Premium")))</f>
        <v>High</v>
      </c>
    </row>
    <row r="200" spans="1:12" x14ac:dyDescent="0.35">
      <c r="A200" t="s">
        <v>421</v>
      </c>
      <c r="B200" s="2" t="s">
        <v>422</v>
      </c>
      <c r="C200" s="2" t="s">
        <v>11</v>
      </c>
      <c r="D200" s="3">
        <v>60</v>
      </c>
      <c r="E200" s="2" t="s">
        <v>18</v>
      </c>
      <c r="F200" s="2" t="s">
        <v>27</v>
      </c>
      <c r="G200" s="4">
        <v>154165</v>
      </c>
      <c r="H200" s="2" t="s">
        <v>14</v>
      </c>
      <c r="I200" s="1">
        <v>43118</v>
      </c>
      <c r="J200" t="str">
        <f ca="1">DATEDIF(Table2[[#This Row],[Join_Date]], TODAY(), "Y") &amp; "yrs"</f>
        <v>8yrs</v>
      </c>
      <c r="K200" t="str">
        <f>IF(Table2[[#This Row],[Age]]&lt;=19,"Teen",
   IF(Table2[[#This Row],[Age]]&lt;=35,"Young Adult",
      IF(Table2[[#This Row],[Age]]&lt;=55,"Middle-Age",
         "Old")))</f>
        <v>Old</v>
      </c>
      <c r="L200" t="str">
        <f>IF(Table2[[#This Row],[Income]]&lt;=30000,"Low",
   IF(Table2[[#This Row],[Income]]&lt;=60000,"Medium",
      IF(Table2[[#This Row],[Income]]&lt;=100000,"High",
         "Premium")))</f>
        <v>Premium</v>
      </c>
    </row>
    <row r="201" spans="1:12" x14ac:dyDescent="0.35">
      <c r="A201" t="s">
        <v>423</v>
      </c>
      <c r="B201" s="2" t="s">
        <v>424</v>
      </c>
      <c r="C201" s="2" t="s">
        <v>11</v>
      </c>
      <c r="D201" s="3">
        <v>61</v>
      </c>
      <c r="E201" s="2" t="s">
        <v>12</v>
      </c>
      <c r="F201" s="2" t="s">
        <v>19</v>
      </c>
      <c r="G201" s="4">
        <v>42042</v>
      </c>
      <c r="H201" s="2" t="s">
        <v>14</v>
      </c>
      <c r="I201" s="1">
        <v>45365</v>
      </c>
      <c r="J201" t="str">
        <f ca="1">DATEDIF(Table2[[#This Row],[Join_Date]], TODAY(), "Y") &amp; "yrs"</f>
        <v>1yrs</v>
      </c>
      <c r="K201" t="str">
        <f>IF(Table2[[#This Row],[Age]]&lt;=19,"Teen",
   IF(Table2[[#This Row],[Age]]&lt;=35,"Young Adult",
      IF(Table2[[#This Row],[Age]]&lt;=55,"Middle-Age",
         "Old")))</f>
        <v>Old</v>
      </c>
      <c r="L201" t="str">
        <f>IF(Table2[[#This Row],[Income]]&lt;=30000,"Low",
   IF(Table2[[#This Row],[Income]]&lt;=60000,"Medium",
      IF(Table2[[#This Row],[Income]]&lt;=100000,"High",
         "Premium")))</f>
        <v>Medium</v>
      </c>
    </row>
    <row r="202" spans="1:12" x14ac:dyDescent="0.35">
      <c r="A202" t="s">
        <v>425</v>
      </c>
      <c r="B202" s="2" t="s">
        <v>426</v>
      </c>
      <c r="C202" s="2" t="s">
        <v>11</v>
      </c>
      <c r="D202" s="3">
        <v>46</v>
      </c>
      <c r="E202" s="2" t="s">
        <v>30</v>
      </c>
      <c r="F202" s="2" t="s">
        <v>23</v>
      </c>
      <c r="G202" s="4">
        <v>72930</v>
      </c>
      <c r="H202" s="2" t="s">
        <v>24</v>
      </c>
      <c r="I202" s="1">
        <v>42971</v>
      </c>
      <c r="J202" t="str">
        <f ca="1">DATEDIF(Table2[[#This Row],[Join_Date]], TODAY(), "Y") &amp; "yrs"</f>
        <v>8yrs</v>
      </c>
      <c r="K202" t="str">
        <f>IF(Table2[[#This Row],[Age]]&lt;=19,"Teen",
   IF(Table2[[#This Row],[Age]]&lt;=35,"Young Adult",
      IF(Table2[[#This Row],[Age]]&lt;=55,"Middle-Age",
         "Old")))</f>
        <v>Middle-Age</v>
      </c>
      <c r="L202" t="str">
        <f>IF(Table2[[#This Row],[Income]]&lt;=30000,"Low",
   IF(Table2[[#This Row],[Income]]&lt;=60000,"Medium",
      IF(Table2[[#This Row],[Income]]&lt;=100000,"High",
         "Premium")))</f>
        <v>High</v>
      </c>
    </row>
    <row r="203" spans="1:12" x14ac:dyDescent="0.35">
      <c r="A203" t="s">
        <v>427</v>
      </c>
      <c r="B203" s="2" t="s">
        <v>428</v>
      </c>
      <c r="C203" s="2" t="s">
        <v>17</v>
      </c>
      <c r="D203" s="3">
        <v>30</v>
      </c>
      <c r="E203" s="2" t="s">
        <v>34</v>
      </c>
      <c r="F203" s="2" t="s">
        <v>23</v>
      </c>
      <c r="G203" s="4">
        <v>195485</v>
      </c>
      <c r="H203" s="2" t="s">
        <v>24</v>
      </c>
      <c r="I203" s="1">
        <v>43537</v>
      </c>
      <c r="J203" t="str">
        <f ca="1">DATEDIF(Table2[[#This Row],[Join_Date]], TODAY(), "Y") &amp; "yrs"</f>
        <v>6yrs</v>
      </c>
      <c r="K203" t="str">
        <f>IF(Table2[[#This Row],[Age]]&lt;=19,"Teen",
   IF(Table2[[#This Row],[Age]]&lt;=35,"Young Adult",
      IF(Table2[[#This Row],[Age]]&lt;=55,"Middle-Age",
         "Old")))</f>
        <v>Young Adult</v>
      </c>
      <c r="L203" t="str">
        <f>IF(Table2[[#This Row],[Income]]&lt;=30000,"Low",
   IF(Table2[[#This Row],[Income]]&lt;=60000,"Medium",
      IF(Table2[[#This Row],[Income]]&lt;=100000,"High",
         "Premium")))</f>
        <v>Premium</v>
      </c>
    </row>
    <row r="204" spans="1:12" x14ac:dyDescent="0.35">
      <c r="A204" t="s">
        <v>429</v>
      </c>
      <c r="B204" s="2" t="s">
        <v>430</v>
      </c>
      <c r="C204" s="2" t="s">
        <v>11</v>
      </c>
      <c r="D204" s="3">
        <v>29</v>
      </c>
      <c r="E204" s="2" t="s">
        <v>18</v>
      </c>
      <c r="F204" s="2" t="s">
        <v>37</v>
      </c>
      <c r="G204" s="4">
        <v>117883</v>
      </c>
      <c r="H204" s="2" t="s">
        <v>14</v>
      </c>
      <c r="I204" s="1">
        <v>45525</v>
      </c>
      <c r="J204" t="str">
        <f ca="1">DATEDIF(Table2[[#This Row],[Join_Date]], TODAY(), "Y") &amp; "yrs"</f>
        <v>1yrs</v>
      </c>
      <c r="K204" t="str">
        <f>IF(Table2[[#This Row],[Age]]&lt;=19,"Teen",
   IF(Table2[[#This Row],[Age]]&lt;=35,"Young Adult",
      IF(Table2[[#This Row],[Age]]&lt;=55,"Middle-Age",
         "Old")))</f>
        <v>Young Adult</v>
      </c>
      <c r="L204" t="str">
        <f>IF(Table2[[#This Row],[Income]]&lt;=30000,"Low",
   IF(Table2[[#This Row],[Income]]&lt;=60000,"Medium",
      IF(Table2[[#This Row],[Income]]&lt;=100000,"High",
         "Premium")))</f>
        <v>Premium</v>
      </c>
    </row>
    <row r="205" spans="1:12" x14ac:dyDescent="0.35">
      <c r="A205" t="s">
        <v>431</v>
      </c>
      <c r="B205" s="2" t="s">
        <v>432</v>
      </c>
      <c r="C205" s="2" t="s">
        <v>11</v>
      </c>
      <c r="D205" s="3">
        <v>48</v>
      </c>
      <c r="E205" s="2" t="s">
        <v>12</v>
      </c>
      <c r="F205" s="2" t="s">
        <v>42</v>
      </c>
      <c r="G205" s="4">
        <v>53756</v>
      </c>
      <c r="H205" s="2" t="s">
        <v>20</v>
      </c>
      <c r="I205" s="1">
        <v>42533</v>
      </c>
      <c r="J205" t="str">
        <f ca="1">DATEDIF(Table2[[#This Row],[Join_Date]], TODAY(), "Y") &amp; "yrs"</f>
        <v>9yrs</v>
      </c>
      <c r="K205" t="str">
        <f>IF(Table2[[#This Row],[Age]]&lt;=19,"Teen",
   IF(Table2[[#This Row],[Age]]&lt;=35,"Young Adult",
      IF(Table2[[#This Row],[Age]]&lt;=55,"Middle-Age",
         "Old")))</f>
        <v>Middle-Age</v>
      </c>
      <c r="L205" t="str">
        <f>IF(Table2[[#This Row],[Income]]&lt;=30000,"Low",
   IF(Table2[[#This Row],[Income]]&lt;=60000,"Medium",
      IF(Table2[[#This Row],[Income]]&lt;=100000,"High",
         "Premium")))</f>
        <v>Medium</v>
      </c>
    </row>
    <row r="206" spans="1:12" x14ac:dyDescent="0.35">
      <c r="A206" t="s">
        <v>433</v>
      </c>
      <c r="B206" s="2" t="s">
        <v>434</v>
      </c>
      <c r="C206" s="2" t="s">
        <v>17</v>
      </c>
      <c r="D206" s="3">
        <v>63</v>
      </c>
      <c r="E206" s="2" t="s">
        <v>12</v>
      </c>
      <c r="F206" s="2" t="s">
        <v>27</v>
      </c>
      <c r="G206" s="4">
        <v>73268</v>
      </c>
      <c r="H206" s="2" t="s">
        <v>14</v>
      </c>
      <c r="I206" s="1">
        <v>45587</v>
      </c>
      <c r="J206" t="str">
        <f ca="1">DATEDIF(Table2[[#This Row],[Join_Date]], TODAY(), "Y") &amp; "yrs"</f>
        <v>1yrs</v>
      </c>
      <c r="K206" t="str">
        <f>IF(Table2[[#This Row],[Age]]&lt;=19,"Teen",
   IF(Table2[[#This Row],[Age]]&lt;=35,"Young Adult",
      IF(Table2[[#This Row],[Age]]&lt;=55,"Middle-Age",
         "Old")))</f>
        <v>Old</v>
      </c>
      <c r="L206" t="str">
        <f>IF(Table2[[#This Row],[Income]]&lt;=30000,"Low",
   IF(Table2[[#This Row],[Income]]&lt;=60000,"Medium",
      IF(Table2[[#This Row],[Income]]&lt;=100000,"High",
         "Premium")))</f>
        <v>High</v>
      </c>
    </row>
    <row r="207" spans="1:12" x14ac:dyDescent="0.35">
      <c r="A207" t="s">
        <v>435</v>
      </c>
      <c r="B207" s="2" t="s">
        <v>436</v>
      </c>
      <c r="C207" s="2" t="s">
        <v>11</v>
      </c>
      <c r="D207" s="3">
        <v>19</v>
      </c>
      <c r="E207" s="2" t="s">
        <v>18</v>
      </c>
      <c r="F207" s="2" t="s">
        <v>19</v>
      </c>
      <c r="G207" s="4">
        <v>190286</v>
      </c>
      <c r="H207" s="2" t="s">
        <v>20</v>
      </c>
      <c r="I207" s="1">
        <v>43918</v>
      </c>
      <c r="J207" t="str">
        <f ca="1">DATEDIF(Table2[[#This Row],[Join_Date]], TODAY(), "Y") &amp; "yrs"</f>
        <v>5yrs</v>
      </c>
      <c r="K207" t="str">
        <f>IF(Table2[[#This Row],[Age]]&lt;=19,"Teen",
   IF(Table2[[#This Row],[Age]]&lt;=35,"Young Adult",
      IF(Table2[[#This Row],[Age]]&lt;=55,"Middle-Age",
         "Old")))</f>
        <v>Teen</v>
      </c>
      <c r="L207" t="str">
        <f>IF(Table2[[#This Row],[Income]]&lt;=30000,"Low",
   IF(Table2[[#This Row],[Income]]&lt;=60000,"Medium",
      IF(Table2[[#This Row],[Income]]&lt;=100000,"High",
         "Premium")))</f>
        <v>Premium</v>
      </c>
    </row>
    <row r="208" spans="1:12" x14ac:dyDescent="0.35">
      <c r="A208" t="s">
        <v>437</v>
      </c>
      <c r="B208" s="2" t="s">
        <v>438</v>
      </c>
      <c r="C208" s="2" t="s">
        <v>17</v>
      </c>
      <c r="D208" s="3">
        <v>68</v>
      </c>
      <c r="E208" s="2" t="s">
        <v>34</v>
      </c>
      <c r="F208" s="2" t="s">
        <v>13</v>
      </c>
      <c r="G208" s="4">
        <v>179674</v>
      </c>
      <c r="H208" s="2" t="s">
        <v>14</v>
      </c>
      <c r="I208" s="1">
        <v>43431</v>
      </c>
      <c r="J208" t="str">
        <f ca="1">DATEDIF(Table2[[#This Row],[Join_Date]], TODAY(), "Y") &amp; "yrs"</f>
        <v>7yrs</v>
      </c>
      <c r="K208" t="str">
        <f>IF(Table2[[#This Row],[Age]]&lt;=19,"Teen",
   IF(Table2[[#This Row],[Age]]&lt;=35,"Young Adult",
      IF(Table2[[#This Row],[Age]]&lt;=55,"Middle-Age",
         "Old")))</f>
        <v>Old</v>
      </c>
      <c r="L208" t="str">
        <f>IF(Table2[[#This Row],[Income]]&lt;=30000,"Low",
   IF(Table2[[#This Row],[Income]]&lt;=60000,"Medium",
      IF(Table2[[#This Row],[Income]]&lt;=100000,"High",
         "Premium")))</f>
        <v>Premium</v>
      </c>
    </row>
    <row r="209" spans="1:12" x14ac:dyDescent="0.35">
      <c r="A209" t="s">
        <v>439</v>
      </c>
      <c r="B209" s="2" t="s">
        <v>440</v>
      </c>
      <c r="C209" s="2" t="s">
        <v>17</v>
      </c>
      <c r="D209" s="3">
        <v>67</v>
      </c>
      <c r="E209" s="2" t="s">
        <v>34</v>
      </c>
      <c r="F209" s="2" t="s">
        <v>23</v>
      </c>
      <c r="G209" s="4">
        <v>68901</v>
      </c>
      <c r="H209" s="2" t="s">
        <v>20</v>
      </c>
      <c r="I209" s="1">
        <v>44644</v>
      </c>
      <c r="J209" t="str">
        <f ca="1">DATEDIF(Table2[[#This Row],[Join_Date]], TODAY(), "Y") &amp; "yrs"</f>
        <v>3yrs</v>
      </c>
      <c r="K209" t="str">
        <f>IF(Table2[[#This Row],[Age]]&lt;=19,"Teen",
   IF(Table2[[#This Row],[Age]]&lt;=35,"Young Adult",
      IF(Table2[[#This Row],[Age]]&lt;=55,"Middle-Age",
         "Old")))</f>
        <v>Old</v>
      </c>
      <c r="L209" t="str">
        <f>IF(Table2[[#This Row],[Income]]&lt;=30000,"Low",
   IF(Table2[[#This Row],[Income]]&lt;=60000,"Medium",
      IF(Table2[[#This Row],[Income]]&lt;=100000,"High",
         "Premium")))</f>
        <v>High</v>
      </c>
    </row>
    <row r="210" spans="1:12" x14ac:dyDescent="0.35">
      <c r="A210" t="s">
        <v>441</v>
      </c>
      <c r="B210" s="2" t="s">
        <v>442</v>
      </c>
      <c r="C210" s="2" t="s">
        <v>17</v>
      </c>
      <c r="D210" s="3">
        <v>52</v>
      </c>
      <c r="E210" s="2" t="s">
        <v>34</v>
      </c>
      <c r="F210" s="2" t="s">
        <v>42</v>
      </c>
      <c r="G210" s="4">
        <v>119986</v>
      </c>
      <c r="H210" s="2" t="s">
        <v>14</v>
      </c>
      <c r="I210" s="1">
        <v>43935</v>
      </c>
      <c r="J210" t="str">
        <f ca="1">DATEDIF(Table2[[#This Row],[Join_Date]], TODAY(), "Y") &amp; "yrs"</f>
        <v>5yrs</v>
      </c>
      <c r="K210" t="str">
        <f>IF(Table2[[#This Row],[Age]]&lt;=19,"Teen",
   IF(Table2[[#This Row],[Age]]&lt;=35,"Young Adult",
      IF(Table2[[#This Row],[Age]]&lt;=55,"Middle-Age",
         "Old")))</f>
        <v>Middle-Age</v>
      </c>
      <c r="L210" t="str">
        <f>IF(Table2[[#This Row],[Income]]&lt;=30000,"Low",
   IF(Table2[[#This Row],[Income]]&lt;=60000,"Medium",
      IF(Table2[[#This Row],[Income]]&lt;=100000,"High",
         "Premium")))</f>
        <v>Premium</v>
      </c>
    </row>
    <row r="211" spans="1:12" x14ac:dyDescent="0.35">
      <c r="A211" t="s">
        <v>443</v>
      </c>
      <c r="B211" s="2" t="s">
        <v>444</v>
      </c>
      <c r="C211" s="2" t="s">
        <v>11</v>
      </c>
      <c r="D211" s="3">
        <v>40</v>
      </c>
      <c r="E211" s="2" t="s">
        <v>30</v>
      </c>
      <c r="F211" s="2" t="s">
        <v>23</v>
      </c>
      <c r="G211" s="4">
        <v>183268</v>
      </c>
      <c r="H211" s="2" t="s">
        <v>20</v>
      </c>
      <c r="I211" s="1">
        <v>43742</v>
      </c>
      <c r="J211" t="str">
        <f ca="1">DATEDIF(Table2[[#This Row],[Join_Date]], TODAY(), "Y") &amp; "yrs"</f>
        <v>6yrs</v>
      </c>
      <c r="K211" t="str">
        <f>IF(Table2[[#This Row],[Age]]&lt;=19,"Teen",
   IF(Table2[[#This Row],[Age]]&lt;=35,"Young Adult",
      IF(Table2[[#This Row],[Age]]&lt;=55,"Middle-Age",
         "Old")))</f>
        <v>Middle-Age</v>
      </c>
      <c r="L211" t="str">
        <f>IF(Table2[[#This Row],[Income]]&lt;=30000,"Low",
   IF(Table2[[#This Row],[Income]]&lt;=60000,"Medium",
      IF(Table2[[#This Row],[Income]]&lt;=100000,"High",
         "Premium")))</f>
        <v>Premium</v>
      </c>
    </row>
    <row r="212" spans="1:12" x14ac:dyDescent="0.35">
      <c r="A212" t="s">
        <v>445</v>
      </c>
      <c r="B212" s="2" t="s">
        <v>446</v>
      </c>
      <c r="C212" s="2" t="s">
        <v>11</v>
      </c>
      <c r="D212" s="3">
        <v>34</v>
      </c>
      <c r="E212" s="2" t="s">
        <v>12</v>
      </c>
      <c r="F212" s="2" t="s">
        <v>13</v>
      </c>
      <c r="G212" s="4">
        <v>148386</v>
      </c>
      <c r="H212" s="2" t="s">
        <v>20</v>
      </c>
      <c r="I212" s="1">
        <v>43881</v>
      </c>
      <c r="J212" t="str">
        <f ca="1">DATEDIF(Table2[[#This Row],[Join_Date]], TODAY(), "Y") &amp; "yrs"</f>
        <v>5yrs</v>
      </c>
      <c r="K212" t="str">
        <f>IF(Table2[[#This Row],[Age]]&lt;=19,"Teen",
   IF(Table2[[#This Row],[Age]]&lt;=35,"Young Adult",
      IF(Table2[[#This Row],[Age]]&lt;=55,"Middle-Age",
         "Old")))</f>
        <v>Young Adult</v>
      </c>
      <c r="L212" t="str">
        <f>IF(Table2[[#This Row],[Income]]&lt;=30000,"Low",
   IF(Table2[[#This Row],[Income]]&lt;=60000,"Medium",
      IF(Table2[[#This Row],[Income]]&lt;=100000,"High",
         "Premium")))</f>
        <v>Premium</v>
      </c>
    </row>
    <row r="213" spans="1:12" x14ac:dyDescent="0.35">
      <c r="A213" t="s">
        <v>447</v>
      </c>
      <c r="B213" s="2" t="s">
        <v>448</v>
      </c>
      <c r="C213" s="2" t="s">
        <v>11</v>
      </c>
      <c r="D213" s="3">
        <v>43</v>
      </c>
      <c r="E213" s="2" t="s">
        <v>12</v>
      </c>
      <c r="F213" s="2" t="s">
        <v>42</v>
      </c>
      <c r="G213" s="4">
        <v>25626</v>
      </c>
      <c r="H213" s="2" t="s">
        <v>20</v>
      </c>
      <c r="I213" s="1">
        <v>43477</v>
      </c>
      <c r="J213" t="str">
        <f ca="1">DATEDIF(Table2[[#This Row],[Join_Date]], TODAY(), "Y") &amp; "yrs"</f>
        <v>7yrs</v>
      </c>
      <c r="K213" t="str">
        <f>IF(Table2[[#This Row],[Age]]&lt;=19,"Teen",
   IF(Table2[[#This Row],[Age]]&lt;=35,"Young Adult",
      IF(Table2[[#This Row],[Age]]&lt;=55,"Middle-Age",
         "Old")))</f>
        <v>Middle-Age</v>
      </c>
      <c r="L213" t="str">
        <f>IF(Table2[[#This Row],[Income]]&lt;=30000,"Low",
   IF(Table2[[#This Row],[Income]]&lt;=60000,"Medium",
      IF(Table2[[#This Row],[Income]]&lt;=100000,"High",
         "Premium")))</f>
        <v>Low</v>
      </c>
    </row>
    <row r="214" spans="1:12" x14ac:dyDescent="0.35">
      <c r="A214" t="s">
        <v>449</v>
      </c>
      <c r="B214" s="2" t="s">
        <v>450</v>
      </c>
      <c r="C214" s="2" t="s">
        <v>11</v>
      </c>
      <c r="D214" s="3">
        <v>25</v>
      </c>
      <c r="E214" s="2" t="s">
        <v>12</v>
      </c>
      <c r="F214" s="2" t="s">
        <v>42</v>
      </c>
      <c r="G214" s="4">
        <v>158496</v>
      </c>
      <c r="H214" s="2" t="s">
        <v>14</v>
      </c>
      <c r="I214" s="1">
        <v>42973</v>
      </c>
      <c r="J214" t="str">
        <f ca="1">DATEDIF(Table2[[#This Row],[Join_Date]], TODAY(), "Y") &amp; "yrs"</f>
        <v>8yrs</v>
      </c>
      <c r="K214" t="str">
        <f>IF(Table2[[#This Row],[Age]]&lt;=19,"Teen",
   IF(Table2[[#This Row],[Age]]&lt;=35,"Young Adult",
      IF(Table2[[#This Row],[Age]]&lt;=55,"Middle-Age",
         "Old")))</f>
        <v>Young Adult</v>
      </c>
      <c r="L214" t="str">
        <f>IF(Table2[[#This Row],[Income]]&lt;=30000,"Low",
   IF(Table2[[#This Row],[Income]]&lt;=60000,"Medium",
      IF(Table2[[#This Row],[Income]]&lt;=100000,"High",
         "Premium")))</f>
        <v>Premium</v>
      </c>
    </row>
    <row r="215" spans="1:12" x14ac:dyDescent="0.35">
      <c r="A215" t="s">
        <v>451</v>
      </c>
      <c r="B215" s="2" t="s">
        <v>452</v>
      </c>
      <c r="C215" s="2" t="s">
        <v>11</v>
      </c>
      <c r="D215" s="3">
        <v>46</v>
      </c>
      <c r="E215" s="2" t="s">
        <v>30</v>
      </c>
      <c r="F215" s="2" t="s">
        <v>19</v>
      </c>
      <c r="G215" s="4">
        <v>32857</v>
      </c>
      <c r="H215" s="2" t="s">
        <v>14</v>
      </c>
      <c r="I215" s="1">
        <v>44799</v>
      </c>
      <c r="J215" t="str">
        <f ca="1">DATEDIF(Table2[[#This Row],[Join_Date]], TODAY(), "Y") &amp; "yrs"</f>
        <v>3yrs</v>
      </c>
      <c r="K215" t="str">
        <f>IF(Table2[[#This Row],[Age]]&lt;=19,"Teen",
   IF(Table2[[#This Row],[Age]]&lt;=35,"Young Adult",
      IF(Table2[[#This Row],[Age]]&lt;=55,"Middle-Age",
         "Old")))</f>
        <v>Middle-Age</v>
      </c>
      <c r="L215" t="str">
        <f>IF(Table2[[#This Row],[Income]]&lt;=30000,"Low",
   IF(Table2[[#This Row],[Income]]&lt;=60000,"Medium",
      IF(Table2[[#This Row],[Income]]&lt;=100000,"High",
         "Premium")))</f>
        <v>Medium</v>
      </c>
    </row>
    <row r="216" spans="1:12" x14ac:dyDescent="0.35">
      <c r="A216" t="s">
        <v>453</v>
      </c>
      <c r="B216" s="2" t="s">
        <v>454</v>
      </c>
      <c r="C216" s="2" t="s">
        <v>11</v>
      </c>
      <c r="D216" s="3">
        <v>43</v>
      </c>
      <c r="E216" s="2" t="s">
        <v>12</v>
      </c>
      <c r="F216" s="2" t="s">
        <v>19</v>
      </c>
      <c r="G216" s="4">
        <v>171054</v>
      </c>
      <c r="H216" s="2" t="s">
        <v>14</v>
      </c>
      <c r="I216" s="1">
        <v>43877</v>
      </c>
      <c r="J216" t="str">
        <f ca="1">DATEDIF(Table2[[#This Row],[Join_Date]], TODAY(), "Y") &amp; "yrs"</f>
        <v>5yrs</v>
      </c>
      <c r="K216" t="str">
        <f>IF(Table2[[#This Row],[Age]]&lt;=19,"Teen",
   IF(Table2[[#This Row],[Age]]&lt;=35,"Young Adult",
      IF(Table2[[#This Row],[Age]]&lt;=55,"Middle-Age",
         "Old")))</f>
        <v>Middle-Age</v>
      </c>
      <c r="L216" t="str">
        <f>IF(Table2[[#This Row],[Income]]&lt;=30000,"Low",
   IF(Table2[[#This Row],[Income]]&lt;=60000,"Medium",
      IF(Table2[[#This Row],[Income]]&lt;=100000,"High",
         "Premium")))</f>
        <v>Premium</v>
      </c>
    </row>
    <row r="217" spans="1:12" x14ac:dyDescent="0.35">
      <c r="A217" t="s">
        <v>455</v>
      </c>
      <c r="B217" s="2" t="s">
        <v>456</v>
      </c>
      <c r="C217" s="2" t="s">
        <v>11</v>
      </c>
      <c r="D217" s="3">
        <v>27</v>
      </c>
      <c r="E217" s="2" t="s">
        <v>30</v>
      </c>
      <c r="F217" s="2" t="s">
        <v>27</v>
      </c>
      <c r="G217" s="4">
        <v>153052</v>
      </c>
      <c r="H217" s="2" t="s">
        <v>14</v>
      </c>
      <c r="I217" s="1">
        <v>42311</v>
      </c>
      <c r="J217" t="str">
        <f ca="1">DATEDIF(Table2[[#This Row],[Join_Date]], TODAY(), "Y") &amp; "yrs"</f>
        <v>10yrs</v>
      </c>
      <c r="K217" t="str">
        <f>IF(Table2[[#This Row],[Age]]&lt;=19,"Teen",
   IF(Table2[[#This Row],[Age]]&lt;=35,"Young Adult",
      IF(Table2[[#This Row],[Age]]&lt;=55,"Middle-Age",
         "Old")))</f>
        <v>Young Adult</v>
      </c>
      <c r="L217" t="str">
        <f>IF(Table2[[#This Row],[Income]]&lt;=30000,"Low",
   IF(Table2[[#This Row],[Income]]&lt;=60000,"Medium",
      IF(Table2[[#This Row],[Income]]&lt;=100000,"High",
         "Premium")))</f>
        <v>Premium</v>
      </c>
    </row>
    <row r="218" spans="1:12" x14ac:dyDescent="0.35">
      <c r="A218" t="s">
        <v>457</v>
      </c>
      <c r="B218" s="2" t="s">
        <v>458</v>
      </c>
      <c r="C218" s="2" t="s">
        <v>17</v>
      </c>
      <c r="D218" s="3">
        <v>43</v>
      </c>
      <c r="E218" s="2" t="s">
        <v>34</v>
      </c>
      <c r="F218" s="2" t="s">
        <v>27</v>
      </c>
      <c r="G218" s="4">
        <v>199362</v>
      </c>
      <c r="H218" s="2" t="s">
        <v>14</v>
      </c>
      <c r="I218" s="1">
        <v>45083</v>
      </c>
      <c r="J218" t="str">
        <f ca="1">DATEDIF(Table2[[#This Row],[Join_Date]], TODAY(), "Y") &amp; "yrs"</f>
        <v>2yrs</v>
      </c>
      <c r="K218" t="str">
        <f>IF(Table2[[#This Row],[Age]]&lt;=19,"Teen",
   IF(Table2[[#This Row],[Age]]&lt;=35,"Young Adult",
      IF(Table2[[#This Row],[Age]]&lt;=55,"Middle-Age",
         "Old")))</f>
        <v>Middle-Age</v>
      </c>
      <c r="L218" t="str">
        <f>IF(Table2[[#This Row],[Income]]&lt;=30000,"Low",
   IF(Table2[[#This Row],[Income]]&lt;=60000,"Medium",
      IF(Table2[[#This Row],[Income]]&lt;=100000,"High",
         "Premium")))</f>
        <v>Premium</v>
      </c>
    </row>
    <row r="219" spans="1:12" x14ac:dyDescent="0.35">
      <c r="A219" t="s">
        <v>459</v>
      </c>
      <c r="B219" s="2" t="s">
        <v>460</v>
      </c>
      <c r="C219" s="2" t="s">
        <v>11</v>
      </c>
      <c r="D219" s="3">
        <v>51</v>
      </c>
      <c r="E219" s="2" t="s">
        <v>18</v>
      </c>
      <c r="F219" s="2" t="s">
        <v>31</v>
      </c>
      <c r="G219" s="4">
        <v>46431</v>
      </c>
      <c r="H219" s="2" t="s">
        <v>24</v>
      </c>
      <c r="I219" s="1">
        <v>42586</v>
      </c>
      <c r="J219" t="str">
        <f ca="1">DATEDIF(Table2[[#This Row],[Join_Date]], TODAY(), "Y") &amp; "yrs"</f>
        <v>9yrs</v>
      </c>
      <c r="K219" t="str">
        <f>IF(Table2[[#This Row],[Age]]&lt;=19,"Teen",
   IF(Table2[[#This Row],[Age]]&lt;=35,"Young Adult",
      IF(Table2[[#This Row],[Age]]&lt;=55,"Middle-Age",
         "Old")))</f>
        <v>Middle-Age</v>
      </c>
      <c r="L219" t="str">
        <f>IF(Table2[[#This Row],[Income]]&lt;=30000,"Low",
   IF(Table2[[#This Row],[Income]]&lt;=60000,"Medium",
      IF(Table2[[#This Row],[Income]]&lt;=100000,"High",
         "Premium")))</f>
        <v>Medium</v>
      </c>
    </row>
    <row r="220" spans="1:12" x14ac:dyDescent="0.35">
      <c r="A220" t="s">
        <v>461</v>
      </c>
      <c r="B220" s="2" t="s">
        <v>462</v>
      </c>
      <c r="C220" s="2" t="s">
        <v>17</v>
      </c>
      <c r="D220" s="3">
        <v>68</v>
      </c>
      <c r="E220" s="2" t="s">
        <v>12</v>
      </c>
      <c r="F220" s="2" t="s">
        <v>31</v>
      </c>
      <c r="G220" s="4">
        <v>104976</v>
      </c>
      <c r="H220" s="2" t="s">
        <v>14</v>
      </c>
      <c r="I220" s="1">
        <v>43719</v>
      </c>
      <c r="J220" t="str">
        <f ca="1">DATEDIF(Table2[[#This Row],[Join_Date]], TODAY(), "Y") &amp; "yrs"</f>
        <v>6yrs</v>
      </c>
      <c r="K220" t="str">
        <f>IF(Table2[[#This Row],[Age]]&lt;=19,"Teen",
   IF(Table2[[#This Row],[Age]]&lt;=35,"Young Adult",
      IF(Table2[[#This Row],[Age]]&lt;=55,"Middle-Age",
         "Old")))</f>
        <v>Old</v>
      </c>
      <c r="L220" t="str">
        <f>IF(Table2[[#This Row],[Income]]&lt;=30000,"Low",
   IF(Table2[[#This Row],[Income]]&lt;=60000,"Medium",
      IF(Table2[[#This Row],[Income]]&lt;=100000,"High",
         "Premium")))</f>
        <v>Premium</v>
      </c>
    </row>
    <row r="221" spans="1:12" x14ac:dyDescent="0.35">
      <c r="A221" t="s">
        <v>463</v>
      </c>
      <c r="B221" s="2" t="s">
        <v>464</v>
      </c>
      <c r="C221" s="2" t="s">
        <v>11</v>
      </c>
      <c r="D221" s="3">
        <v>58</v>
      </c>
      <c r="E221" s="2" t="s">
        <v>12</v>
      </c>
      <c r="F221" s="2" t="s">
        <v>37</v>
      </c>
      <c r="G221" s="4">
        <v>102711</v>
      </c>
      <c r="H221" s="2" t="s">
        <v>14</v>
      </c>
      <c r="I221" s="1">
        <v>45427</v>
      </c>
      <c r="J221" t="str">
        <f ca="1">DATEDIF(Table2[[#This Row],[Join_Date]], TODAY(), "Y") &amp; "yrs"</f>
        <v>1yrs</v>
      </c>
      <c r="K221" t="str">
        <f>IF(Table2[[#This Row],[Age]]&lt;=19,"Teen",
   IF(Table2[[#This Row],[Age]]&lt;=35,"Young Adult",
      IF(Table2[[#This Row],[Age]]&lt;=55,"Middle-Age",
         "Old")))</f>
        <v>Old</v>
      </c>
      <c r="L221" t="str">
        <f>IF(Table2[[#This Row],[Income]]&lt;=30000,"Low",
   IF(Table2[[#This Row],[Income]]&lt;=60000,"Medium",
      IF(Table2[[#This Row],[Income]]&lt;=100000,"High",
         "Premium")))</f>
        <v>Premium</v>
      </c>
    </row>
    <row r="222" spans="1:12" x14ac:dyDescent="0.35">
      <c r="A222" t="s">
        <v>465</v>
      </c>
      <c r="B222" s="2" t="s">
        <v>466</v>
      </c>
      <c r="C222" s="2" t="s">
        <v>11</v>
      </c>
      <c r="D222" s="3">
        <v>24</v>
      </c>
      <c r="E222" s="2" t="s">
        <v>34</v>
      </c>
      <c r="F222" s="2" t="s">
        <v>23</v>
      </c>
      <c r="G222" s="4">
        <v>46385</v>
      </c>
      <c r="H222" s="2" t="s">
        <v>14</v>
      </c>
      <c r="I222" s="1">
        <v>43046</v>
      </c>
      <c r="J222" t="str">
        <f ca="1">DATEDIF(Table2[[#This Row],[Join_Date]], TODAY(), "Y") &amp; "yrs"</f>
        <v>8yrs</v>
      </c>
      <c r="K222" t="str">
        <f>IF(Table2[[#This Row],[Age]]&lt;=19,"Teen",
   IF(Table2[[#This Row],[Age]]&lt;=35,"Young Adult",
      IF(Table2[[#This Row],[Age]]&lt;=55,"Middle-Age",
         "Old")))</f>
        <v>Young Adult</v>
      </c>
      <c r="L222" t="str">
        <f>IF(Table2[[#This Row],[Income]]&lt;=30000,"Low",
   IF(Table2[[#This Row],[Income]]&lt;=60000,"Medium",
      IF(Table2[[#This Row],[Income]]&lt;=100000,"High",
         "Premium")))</f>
        <v>Medium</v>
      </c>
    </row>
    <row r="223" spans="1:12" x14ac:dyDescent="0.35">
      <c r="A223" t="s">
        <v>467</v>
      </c>
      <c r="B223" s="2" t="s">
        <v>468</v>
      </c>
      <c r="C223" s="2" t="s">
        <v>11</v>
      </c>
      <c r="D223" s="3">
        <v>21</v>
      </c>
      <c r="E223" s="2" t="s">
        <v>18</v>
      </c>
      <c r="F223" s="2" t="s">
        <v>27</v>
      </c>
      <c r="G223" s="4">
        <v>189230</v>
      </c>
      <c r="H223" s="2" t="s">
        <v>14</v>
      </c>
      <c r="I223" s="1">
        <v>45495</v>
      </c>
      <c r="J223" t="str">
        <f ca="1">DATEDIF(Table2[[#This Row],[Join_Date]], TODAY(), "Y") &amp; "yrs"</f>
        <v>1yrs</v>
      </c>
      <c r="K223" t="str">
        <f>IF(Table2[[#This Row],[Age]]&lt;=19,"Teen",
   IF(Table2[[#This Row],[Age]]&lt;=35,"Young Adult",
      IF(Table2[[#This Row],[Age]]&lt;=55,"Middle-Age",
         "Old")))</f>
        <v>Young Adult</v>
      </c>
      <c r="L223" t="str">
        <f>IF(Table2[[#This Row],[Income]]&lt;=30000,"Low",
   IF(Table2[[#This Row],[Income]]&lt;=60000,"Medium",
      IF(Table2[[#This Row],[Income]]&lt;=100000,"High",
         "Premium")))</f>
        <v>Premium</v>
      </c>
    </row>
    <row r="224" spans="1:12" x14ac:dyDescent="0.35">
      <c r="A224" t="s">
        <v>469</v>
      </c>
      <c r="B224" s="2" t="s">
        <v>470</v>
      </c>
      <c r="C224" s="2" t="s">
        <v>17</v>
      </c>
      <c r="D224" s="3">
        <v>70</v>
      </c>
      <c r="E224" s="2" t="s">
        <v>30</v>
      </c>
      <c r="F224" s="2" t="s">
        <v>19</v>
      </c>
      <c r="G224" s="4">
        <v>174091</v>
      </c>
      <c r="H224" s="2" t="s">
        <v>20</v>
      </c>
      <c r="I224" s="1">
        <v>42378</v>
      </c>
      <c r="J224" t="str">
        <f ca="1">DATEDIF(Table2[[#This Row],[Join_Date]], TODAY(), "Y") &amp; "yrs"</f>
        <v>10yrs</v>
      </c>
      <c r="K224" t="str">
        <f>IF(Table2[[#This Row],[Age]]&lt;=19,"Teen",
   IF(Table2[[#This Row],[Age]]&lt;=35,"Young Adult",
      IF(Table2[[#This Row],[Age]]&lt;=55,"Middle-Age",
         "Old")))</f>
        <v>Old</v>
      </c>
      <c r="L224" t="str">
        <f>IF(Table2[[#This Row],[Income]]&lt;=30000,"Low",
   IF(Table2[[#This Row],[Income]]&lt;=60000,"Medium",
      IF(Table2[[#This Row],[Income]]&lt;=100000,"High",
         "Premium")))</f>
        <v>Premium</v>
      </c>
    </row>
    <row r="225" spans="1:12" x14ac:dyDescent="0.35">
      <c r="A225" t="s">
        <v>471</v>
      </c>
      <c r="B225" s="2" t="s">
        <v>472</v>
      </c>
      <c r="C225" s="2" t="s">
        <v>17</v>
      </c>
      <c r="D225" s="3">
        <v>67</v>
      </c>
      <c r="E225" s="2" t="s">
        <v>18</v>
      </c>
      <c r="F225" s="2" t="s">
        <v>13</v>
      </c>
      <c r="G225" s="4">
        <v>38639</v>
      </c>
      <c r="H225" s="2" t="s">
        <v>14</v>
      </c>
      <c r="I225" s="1">
        <v>42653</v>
      </c>
      <c r="J225" t="str">
        <f ca="1">DATEDIF(Table2[[#This Row],[Join_Date]], TODAY(), "Y") &amp; "yrs"</f>
        <v>9yrs</v>
      </c>
      <c r="K225" t="str">
        <f>IF(Table2[[#This Row],[Age]]&lt;=19,"Teen",
   IF(Table2[[#This Row],[Age]]&lt;=35,"Young Adult",
      IF(Table2[[#This Row],[Age]]&lt;=55,"Middle-Age",
         "Old")))</f>
        <v>Old</v>
      </c>
      <c r="L225" t="str">
        <f>IF(Table2[[#This Row],[Income]]&lt;=30000,"Low",
   IF(Table2[[#This Row],[Income]]&lt;=60000,"Medium",
      IF(Table2[[#This Row],[Income]]&lt;=100000,"High",
         "Premium")))</f>
        <v>Medium</v>
      </c>
    </row>
    <row r="226" spans="1:12" x14ac:dyDescent="0.35">
      <c r="A226" t="s">
        <v>473</v>
      </c>
      <c r="B226" s="2" t="s">
        <v>474</v>
      </c>
      <c r="C226" s="2" t="s">
        <v>17</v>
      </c>
      <c r="D226" s="3">
        <v>62</v>
      </c>
      <c r="E226" s="2" t="s">
        <v>34</v>
      </c>
      <c r="F226" s="2" t="s">
        <v>19</v>
      </c>
      <c r="G226" s="4">
        <v>105530</v>
      </c>
      <c r="H226" s="2" t="s">
        <v>24</v>
      </c>
      <c r="I226" s="1">
        <v>43070</v>
      </c>
      <c r="J226" t="str">
        <f ca="1">DATEDIF(Table2[[#This Row],[Join_Date]], TODAY(), "Y") &amp; "yrs"</f>
        <v>8yrs</v>
      </c>
      <c r="K226" t="str">
        <f>IF(Table2[[#This Row],[Age]]&lt;=19,"Teen",
   IF(Table2[[#This Row],[Age]]&lt;=35,"Young Adult",
      IF(Table2[[#This Row],[Age]]&lt;=55,"Middle-Age",
         "Old")))</f>
        <v>Old</v>
      </c>
      <c r="L226" t="str">
        <f>IF(Table2[[#This Row],[Income]]&lt;=30000,"Low",
   IF(Table2[[#This Row],[Income]]&lt;=60000,"Medium",
      IF(Table2[[#This Row],[Income]]&lt;=100000,"High",
         "Premium")))</f>
        <v>Premium</v>
      </c>
    </row>
    <row r="227" spans="1:12" x14ac:dyDescent="0.35">
      <c r="A227" t="s">
        <v>475</v>
      </c>
      <c r="B227" s="2" t="s">
        <v>476</v>
      </c>
      <c r="C227" s="2" t="s">
        <v>17</v>
      </c>
      <c r="D227" s="3">
        <v>28</v>
      </c>
      <c r="E227" s="2" t="s">
        <v>34</v>
      </c>
      <c r="F227" s="2" t="s">
        <v>23</v>
      </c>
      <c r="G227" s="4">
        <v>41563</v>
      </c>
      <c r="H227" s="2" t="s">
        <v>14</v>
      </c>
      <c r="I227" s="1">
        <v>45387</v>
      </c>
      <c r="J227" t="str">
        <f ca="1">DATEDIF(Table2[[#This Row],[Join_Date]], TODAY(), "Y") &amp; "yrs"</f>
        <v>1yrs</v>
      </c>
      <c r="K227" t="str">
        <f>IF(Table2[[#This Row],[Age]]&lt;=19,"Teen",
   IF(Table2[[#This Row],[Age]]&lt;=35,"Young Adult",
      IF(Table2[[#This Row],[Age]]&lt;=55,"Middle-Age",
         "Old")))</f>
        <v>Young Adult</v>
      </c>
      <c r="L227" t="str">
        <f>IF(Table2[[#This Row],[Income]]&lt;=30000,"Low",
   IF(Table2[[#This Row],[Income]]&lt;=60000,"Medium",
      IF(Table2[[#This Row],[Income]]&lt;=100000,"High",
         "Premium")))</f>
        <v>Medium</v>
      </c>
    </row>
    <row r="228" spans="1:12" x14ac:dyDescent="0.35">
      <c r="A228" t="s">
        <v>477</v>
      </c>
      <c r="B228" s="2" t="s">
        <v>478</v>
      </c>
      <c r="C228" s="2" t="s">
        <v>11</v>
      </c>
      <c r="D228" s="3">
        <v>46</v>
      </c>
      <c r="E228" s="2" t="s">
        <v>18</v>
      </c>
      <c r="F228" s="2" t="s">
        <v>31</v>
      </c>
      <c r="G228" s="4">
        <v>190413</v>
      </c>
      <c r="H228" s="2" t="s">
        <v>24</v>
      </c>
      <c r="I228" s="1">
        <v>42873</v>
      </c>
      <c r="J228" t="str">
        <f ca="1">DATEDIF(Table2[[#This Row],[Join_Date]], TODAY(), "Y") &amp; "yrs"</f>
        <v>8yrs</v>
      </c>
      <c r="K228" t="str">
        <f>IF(Table2[[#This Row],[Age]]&lt;=19,"Teen",
   IF(Table2[[#This Row],[Age]]&lt;=35,"Young Adult",
      IF(Table2[[#This Row],[Age]]&lt;=55,"Middle-Age",
         "Old")))</f>
        <v>Middle-Age</v>
      </c>
      <c r="L228" t="str">
        <f>IF(Table2[[#This Row],[Income]]&lt;=30000,"Low",
   IF(Table2[[#This Row],[Income]]&lt;=60000,"Medium",
      IF(Table2[[#This Row],[Income]]&lt;=100000,"High",
         "Premium")))</f>
        <v>Premium</v>
      </c>
    </row>
    <row r="229" spans="1:12" x14ac:dyDescent="0.35">
      <c r="A229" t="s">
        <v>479</v>
      </c>
      <c r="B229" s="2" t="s">
        <v>480</v>
      </c>
      <c r="C229" s="2" t="s">
        <v>17</v>
      </c>
      <c r="D229" s="3">
        <v>73</v>
      </c>
      <c r="E229" s="2" t="s">
        <v>30</v>
      </c>
      <c r="F229" s="2" t="s">
        <v>19</v>
      </c>
      <c r="G229" s="4">
        <v>135672</v>
      </c>
      <c r="H229" s="2" t="s">
        <v>20</v>
      </c>
      <c r="I229" s="1">
        <v>43479</v>
      </c>
      <c r="J229" t="str">
        <f ca="1">DATEDIF(Table2[[#This Row],[Join_Date]], TODAY(), "Y") &amp; "yrs"</f>
        <v>7yrs</v>
      </c>
      <c r="K229" t="str">
        <f>IF(Table2[[#This Row],[Age]]&lt;=19,"Teen",
   IF(Table2[[#This Row],[Age]]&lt;=35,"Young Adult",
      IF(Table2[[#This Row],[Age]]&lt;=55,"Middle-Age",
         "Old")))</f>
        <v>Old</v>
      </c>
      <c r="L229" t="str">
        <f>IF(Table2[[#This Row],[Income]]&lt;=30000,"Low",
   IF(Table2[[#This Row],[Income]]&lt;=60000,"Medium",
      IF(Table2[[#This Row],[Income]]&lt;=100000,"High",
         "Premium")))</f>
        <v>Premium</v>
      </c>
    </row>
    <row r="230" spans="1:12" x14ac:dyDescent="0.35">
      <c r="A230" t="s">
        <v>481</v>
      </c>
      <c r="B230" s="2" t="s">
        <v>482</v>
      </c>
      <c r="C230" s="2" t="s">
        <v>11</v>
      </c>
      <c r="D230" s="3">
        <v>53</v>
      </c>
      <c r="E230" s="2" t="s">
        <v>30</v>
      </c>
      <c r="F230" s="2" t="s">
        <v>37</v>
      </c>
      <c r="G230" s="4">
        <v>156848</v>
      </c>
      <c r="H230" s="2" t="s">
        <v>14</v>
      </c>
      <c r="I230" s="1">
        <v>44786</v>
      </c>
      <c r="J230" t="str">
        <f ca="1">DATEDIF(Table2[[#This Row],[Join_Date]], TODAY(), "Y") &amp; "yrs"</f>
        <v>3yrs</v>
      </c>
      <c r="K230" t="str">
        <f>IF(Table2[[#This Row],[Age]]&lt;=19,"Teen",
   IF(Table2[[#This Row],[Age]]&lt;=35,"Young Adult",
      IF(Table2[[#This Row],[Age]]&lt;=55,"Middle-Age",
         "Old")))</f>
        <v>Middle-Age</v>
      </c>
      <c r="L230" t="str">
        <f>IF(Table2[[#This Row],[Income]]&lt;=30000,"Low",
   IF(Table2[[#This Row],[Income]]&lt;=60000,"Medium",
      IF(Table2[[#This Row],[Income]]&lt;=100000,"High",
         "Premium")))</f>
        <v>Premium</v>
      </c>
    </row>
    <row r="231" spans="1:12" x14ac:dyDescent="0.35">
      <c r="A231" t="s">
        <v>483</v>
      </c>
      <c r="B231" s="2" t="s">
        <v>484</v>
      </c>
      <c r="C231" s="2" t="s">
        <v>11</v>
      </c>
      <c r="D231" s="3">
        <v>42</v>
      </c>
      <c r="E231" s="2" t="s">
        <v>12</v>
      </c>
      <c r="F231" s="2" t="s">
        <v>23</v>
      </c>
      <c r="G231" s="4">
        <v>187516</v>
      </c>
      <c r="H231" s="2" t="s">
        <v>24</v>
      </c>
      <c r="I231" s="1">
        <v>43184</v>
      </c>
      <c r="J231" t="str">
        <f ca="1">DATEDIF(Table2[[#This Row],[Join_Date]], TODAY(), "Y") &amp; "yrs"</f>
        <v>7yrs</v>
      </c>
      <c r="K231" t="str">
        <f>IF(Table2[[#This Row],[Age]]&lt;=19,"Teen",
   IF(Table2[[#This Row],[Age]]&lt;=35,"Young Adult",
      IF(Table2[[#This Row],[Age]]&lt;=55,"Middle-Age",
         "Old")))</f>
        <v>Middle-Age</v>
      </c>
      <c r="L231" t="str">
        <f>IF(Table2[[#This Row],[Income]]&lt;=30000,"Low",
   IF(Table2[[#This Row],[Income]]&lt;=60000,"Medium",
      IF(Table2[[#This Row],[Income]]&lt;=100000,"High",
         "Premium")))</f>
        <v>Premium</v>
      </c>
    </row>
    <row r="232" spans="1:12" x14ac:dyDescent="0.35">
      <c r="A232" t="s">
        <v>485</v>
      </c>
      <c r="B232" s="2" t="s">
        <v>486</v>
      </c>
      <c r="C232" s="2" t="s">
        <v>17</v>
      </c>
      <c r="D232" s="3">
        <v>38</v>
      </c>
      <c r="E232" s="2" t="s">
        <v>30</v>
      </c>
      <c r="F232" s="2" t="s">
        <v>31</v>
      </c>
      <c r="G232" s="4">
        <v>159783</v>
      </c>
      <c r="H232" s="2" t="s">
        <v>14</v>
      </c>
      <c r="I232" s="1">
        <v>44937</v>
      </c>
      <c r="J232" t="str">
        <f ca="1">DATEDIF(Table2[[#This Row],[Join_Date]], TODAY(), "Y") &amp; "yrs"</f>
        <v>3yrs</v>
      </c>
      <c r="K232" t="str">
        <f>IF(Table2[[#This Row],[Age]]&lt;=19,"Teen",
   IF(Table2[[#This Row],[Age]]&lt;=35,"Young Adult",
      IF(Table2[[#This Row],[Age]]&lt;=55,"Middle-Age",
         "Old")))</f>
        <v>Middle-Age</v>
      </c>
      <c r="L232" t="str">
        <f>IF(Table2[[#This Row],[Income]]&lt;=30000,"Low",
   IF(Table2[[#This Row],[Income]]&lt;=60000,"Medium",
      IF(Table2[[#This Row],[Income]]&lt;=100000,"High",
         "Premium")))</f>
        <v>Premium</v>
      </c>
    </row>
    <row r="233" spans="1:12" x14ac:dyDescent="0.35">
      <c r="A233" t="s">
        <v>487</v>
      </c>
      <c r="B233" s="2" t="s">
        <v>488</v>
      </c>
      <c r="C233" s="2" t="s">
        <v>17</v>
      </c>
      <c r="D233" s="3">
        <v>74</v>
      </c>
      <c r="E233" s="2" t="s">
        <v>18</v>
      </c>
      <c r="F233" s="2" t="s">
        <v>13</v>
      </c>
      <c r="G233" s="4">
        <v>102970</v>
      </c>
      <c r="H233" s="2" t="s">
        <v>20</v>
      </c>
      <c r="I233" s="1">
        <v>43335</v>
      </c>
      <c r="J233" t="str">
        <f ca="1">DATEDIF(Table2[[#This Row],[Join_Date]], TODAY(), "Y") &amp; "yrs"</f>
        <v>7yrs</v>
      </c>
      <c r="K233" t="str">
        <f>IF(Table2[[#This Row],[Age]]&lt;=19,"Teen",
   IF(Table2[[#This Row],[Age]]&lt;=35,"Young Adult",
      IF(Table2[[#This Row],[Age]]&lt;=55,"Middle-Age",
         "Old")))</f>
        <v>Old</v>
      </c>
      <c r="L233" t="str">
        <f>IF(Table2[[#This Row],[Income]]&lt;=30000,"Low",
   IF(Table2[[#This Row],[Income]]&lt;=60000,"Medium",
      IF(Table2[[#This Row],[Income]]&lt;=100000,"High",
         "Premium")))</f>
        <v>Premium</v>
      </c>
    </row>
    <row r="234" spans="1:12" x14ac:dyDescent="0.35">
      <c r="A234" t="s">
        <v>489</v>
      </c>
      <c r="B234" s="2" t="s">
        <v>490</v>
      </c>
      <c r="C234" s="2" t="s">
        <v>17</v>
      </c>
      <c r="D234" s="3">
        <v>53</v>
      </c>
      <c r="E234" s="2" t="s">
        <v>34</v>
      </c>
      <c r="F234" s="2" t="s">
        <v>31</v>
      </c>
      <c r="G234" s="4">
        <v>105553</v>
      </c>
      <c r="H234" s="2" t="s">
        <v>14</v>
      </c>
      <c r="I234" s="1">
        <v>42932</v>
      </c>
      <c r="J234" t="str">
        <f ca="1">DATEDIF(Table2[[#This Row],[Join_Date]], TODAY(), "Y") &amp; "yrs"</f>
        <v>8yrs</v>
      </c>
      <c r="K234" t="str">
        <f>IF(Table2[[#This Row],[Age]]&lt;=19,"Teen",
   IF(Table2[[#This Row],[Age]]&lt;=35,"Young Adult",
      IF(Table2[[#This Row],[Age]]&lt;=55,"Middle-Age",
         "Old")))</f>
        <v>Middle-Age</v>
      </c>
      <c r="L234" t="str">
        <f>IF(Table2[[#This Row],[Income]]&lt;=30000,"Low",
   IF(Table2[[#This Row],[Income]]&lt;=60000,"Medium",
      IF(Table2[[#This Row],[Income]]&lt;=100000,"High",
         "Premium")))</f>
        <v>Premium</v>
      </c>
    </row>
    <row r="235" spans="1:12" x14ac:dyDescent="0.35">
      <c r="A235" t="s">
        <v>491</v>
      </c>
      <c r="B235" s="2" t="s">
        <v>492</v>
      </c>
      <c r="C235" s="2" t="s">
        <v>17</v>
      </c>
      <c r="D235" s="3">
        <v>27</v>
      </c>
      <c r="E235" s="2" t="s">
        <v>12</v>
      </c>
      <c r="F235" s="2" t="s">
        <v>42</v>
      </c>
      <c r="G235" s="4">
        <v>181779</v>
      </c>
      <c r="H235" s="2" t="s">
        <v>20</v>
      </c>
      <c r="I235" s="1">
        <v>42976</v>
      </c>
      <c r="J235" t="str">
        <f ca="1">DATEDIF(Table2[[#This Row],[Join_Date]], TODAY(), "Y") &amp; "yrs"</f>
        <v>8yrs</v>
      </c>
      <c r="K235" t="str">
        <f>IF(Table2[[#This Row],[Age]]&lt;=19,"Teen",
   IF(Table2[[#This Row],[Age]]&lt;=35,"Young Adult",
      IF(Table2[[#This Row],[Age]]&lt;=55,"Middle-Age",
         "Old")))</f>
        <v>Young Adult</v>
      </c>
      <c r="L235" t="str">
        <f>IF(Table2[[#This Row],[Income]]&lt;=30000,"Low",
   IF(Table2[[#This Row],[Income]]&lt;=60000,"Medium",
      IF(Table2[[#This Row],[Income]]&lt;=100000,"High",
         "Premium")))</f>
        <v>Premium</v>
      </c>
    </row>
    <row r="236" spans="1:12" x14ac:dyDescent="0.35">
      <c r="A236" t="s">
        <v>493</v>
      </c>
      <c r="B236" s="2" t="s">
        <v>494</v>
      </c>
      <c r="C236" s="2" t="s">
        <v>17</v>
      </c>
      <c r="D236" s="3">
        <v>54</v>
      </c>
      <c r="E236" s="2" t="s">
        <v>12</v>
      </c>
      <c r="F236" s="2" t="s">
        <v>37</v>
      </c>
      <c r="G236" s="4">
        <v>190182</v>
      </c>
      <c r="H236" s="2" t="s">
        <v>20</v>
      </c>
      <c r="I236" s="1">
        <v>45033</v>
      </c>
      <c r="J236" t="str">
        <f ca="1">DATEDIF(Table2[[#This Row],[Join_Date]], TODAY(), "Y") &amp; "yrs"</f>
        <v>2yrs</v>
      </c>
      <c r="K236" t="str">
        <f>IF(Table2[[#This Row],[Age]]&lt;=19,"Teen",
   IF(Table2[[#This Row],[Age]]&lt;=35,"Young Adult",
      IF(Table2[[#This Row],[Age]]&lt;=55,"Middle-Age",
         "Old")))</f>
        <v>Middle-Age</v>
      </c>
      <c r="L236" t="str">
        <f>IF(Table2[[#This Row],[Income]]&lt;=30000,"Low",
   IF(Table2[[#This Row],[Income]]&lt;=60000,"Medium",
      IF(Table2[[#This Row],[Income]]&lt;=100000,"High",
         "Premium")))</f>
        <v>Premium</v>
      </c>
    </row>
    <row r="237" spans="1:12" x14ac:dyDescent="0.35">
      <c r="A237" t="s">
        <v>495</v>
      </c>
      <c r="B237" s="2" t="s">
        <v>496</v>
      </c>
      <c r="C237" s="2" t="s">
        <v>17</v>
      </c>
      <c r="D237" s="3">
        <v>26</v>
      </c>
      <c r="E237" s="2" t="s">
        <v>34</v>
      </c>
      <c r="F237" s="2" t="s">
        <v>23</v>
      </c>
      <c r="G237" s="4">
        <v>102879</v>
      </c>
      <c r="H237" s="2" t="s">
        <v>20</v>
      </c>
      <c r="I237" s="1">
        <v>42866</v>
      </c>
      <c r="J237" t="str">
        <f ca="1">DATEDIF(Table2[[#This Row],[Join_Date]], TODAY(), "Y") &amp; "yrs"</f>
        <v>8yrs</v>
      </c>
      <c r="K237" t="str">
        <f>IF(Table2[[#This Row],[Age]]&lt;=19,"Teen",
   IF(Table2[[#This Row],[Age]]&lt;=35,"Young Adult",
      IF(Table2[[#This Row],[Age]]&lt;=55,"Middle-Age",
         "Old")))</f>
        <v>Young Adult</v>
      </c>
      <c r="L237" t="str">
        <f>IF(Table2[[#This Row],[Income]]&lt;=30000,"Low",
   IF(Table2[[#This Row],[Income]]&lt;=60000,"Medium",
      IF(Table2[[#This Row],[Income]]&lt;=100000,"High",
         "Premium")))</f>
        <v>Premium</v>
      </c>
    </row>
    <row r="238" spans="1:12" x14ac:dyDescent="0.35">
      <c r="A238" t="s">
        <v>497</v>
      </c>
      <c r="B238" s="2" t="s">
        <v>498</v>
      </c>
      <c r="C238" s="2" t="s">
        <v>17</v>
      </c>
      <c r="D238" s="3">
        <v>41</v>
      </c>
      <c r="E238" s="2" t="s">
        <v>30</v>
      </c>
      <c r="F238" s="2" t="s">
        <v>13</v>
      </c>
      <c r="G238" s="4">
        <v>189899</v>
      </c>
      <c r="H238" s="2" t="s">
        <v>20</v>
      </c>
      <c r="I238" s="1">
        <v>45579</v>
      </c>
      <c r="J238" t="str">
        <f ca="1">DATEDIF(Table2[[#This Row],[Join_Date]], TODAY(), "Y") &amp; "yrs"</f>
        <v>1yrs</v>
      </c>
      <c r="K238" t="str">
        <f>IF(Table2[[#This Row],[Age]]&lt;=19,"Teen",
   IF(Table2[[#This Row],[Age]]&lt;=35,"Young Adult",
      IF(Table2[[#This Row],[Age]]&lt;=55,"Middle-Age",
         "Old")))</f>
        <v>Middle-Age</v>
      </c>
      <c r="L238" t="str">
        <f>IF(Table2[[#This Row],[Income]]&lt;=30000,"Low",
   IF(Table2[[#This Row],[Income]]&lt;=60000,"Medium",
      IF(Table2[[#This Row],[Income]]&lt;=100000,"High",
         "Premium")))</f>
        <v>Premium</v>
      </c>
    </row>
    <row r="239" spans="1:12" x14ac:dyDescent="0.35">
      <c r="A239" t="s">
        <v>499</v>
      </c>
      <c r="B239" s="2" t="s">
        <v>500</v>
      </c>
      <c r="C239" s="2" t="s">
        <v>17</v>
      </c>
      <c r="D239" s="3">
        <v>52</v>
      </c>
      <c r="E239" s="2" t="s">
        <v>34</v>
      </c>
      <c r="F239" s="2" t="s">
        <v>37</v>
      </c>
      <c r="G239" s="4">
        <v>156727</v>
      </c>
      <c r="H239" s="2" t="s">
        <v>14</v>
      </c>
      <c r="I239" s="1">
        <v>44108</v>
      </c>
      <c r="J239" t="str">
        <f ca="1">DATEDIF(Table2[[#This Row],[Join_Date]], TODAY(), "Y") &amp; "yrs"</f>
        <v>5yrs</v>
      </c>
      <c r="K239" t="str">
        <f>IF(Table2[[#This Row],[Age]]&lt;=19,"Teen",
   IF(Table2[[#This Row],[Age]]&lt;=35,"Young Adult",
      IF(Table2[[#This Row],[Age]]&lt;=55,"Middle-Age",
         "Old")))</f>
        <v>Middle-Age</v>
      </c>
      <c r="L239" t="str">
        <f>IF(Table2[[#This Row],[Income]]&lt;=30000,"Low",
   IF(Table2[[#This Row],[Income]]&lt;=60000,"Medium",
      IF(Table2[[#This Row],[Income]]&lt;=100000,"High",
         "Premium")))</f>
        <v>Premium</v>
      </c>
    </row>
    <row r="240" spans="1:12" x14ac:dyDescent="0.35">
      <c r="A240" t="s">
        <v>501</v>
      </c>
      <c r="B240" s="2" t="s">
        <v>502</v>
      </c>
      <c r="C240" s="2" t="s">
        <v>11</v>
      </c>
      <c r="D240" s="3">
        <v>66</v>
      </c>
      <c r="E240" s="2" t="s">
        <v>30</v>
      </c>
      <c r="F240" s="2" t="s">
        <v>31</v>
      </c>
      <c r="G240" s="4">
        <v>64859</v>
      </c>
      <c r="H240" s="2" t="s">
        <v>14</v>
      </c>
      <c r="I240" s="1">
        <v>45601</v>
      </c>
      <c r="J240" t="str">
        <f ca="1">DATEDIF(Table2[[#This Row],[Join_Date]], TODAY(), "Y") &amp; "yrs"</f>
        <v>1yrs</v>
      </c>
      <c r="K240" t="str">
        <f>IF(Table2[[#This Row],[Age]]&lt;=19,"Teen",
   IF(Table2[[#This Row],[Age]]&lt;=35,"Young Adult",
      IF(Table2[[#This Row],[Age]]&lt;=55,"Middle-Age",
         "Old")))</f>
        <v>Old</v>
      </c>
      <c r="L240" t="str">
        <f>IF(Table2[[#This Row],[Income]]&lt;=30000,"Low",
   IF(Table2[[#This Row],[Income]]&lt;=60000,"Medium",
      IF(Table2[[#This Row],[Income]]&lt;=100000,"High",
         "Premium")))</f>
        <v>High</v>
      </c>
    </row>
    <row r="241" spans="1:12" x14ac:dyDescent="0.35">
      <c r="A241" t="s">
        <v>503</v>
      </c>
      <c r="B241" s="2" t="s">
        <v>504</v>
      </c>
      <c r="C241" s="2" t="s">
        <v>17</v>
      </c>
      <c r="D241" s="3">
        <v>52</v>
      </c>
      <c r="E241" s="2" t="s">
        <v>34</v>
      </c>
      <c r="F241" s="2" t="s">
        <v>37</v>
      </c>
      <c r="G241" s="4">
        <v>72098</v>
      </c>
      <c r="H241" s="2" t="s">
        <v>14</v>
      </c>
      <c r="I241" s="1">
        <v>44544</v>
      </c>
      <c r="J241" t="str">
        <f ca="1">DATEDIF(Table2[[#This Row],[Join_Date]], TODAY(), "Y") &amp; "yrs"</f>
        <v>4yrs</v>
      </c>
      <c r="K241" t="str">
        <f>IF(Table2[[#This Row],[Age]]&lt;=19,"Teen",
   IF(Table2[[#This Row],[Age]]&lt;=35,"Young Adult",
      IF(Table2[[#This Row],[Age]]&lt;=55,"Middle-Age",
         "Old")))</f>
        <v>Middle-Age</v>
      </c>
      <c r="L241" t="str">
        <f>IF(Table2[[#This Row],[Income]]&lt;=30000,"Low",
   IF(Table2[[#This Row],[Income]]&lt;=60000,"Medium",
      IF(Table2[[#This Row],[Income]]&lt;=100000,"High",
         "Premium")))</f>
        <v>High</v>
      </c>
    </row>
    <row r="242" spans="1:12" x14ac:dyDescent="0.35">
      <c r="A242" t="s">
        <v>505</v>
      </c>
      <c r="B242" s="2" t="s">
        <v>506</v>
      </c>
      <c r="C242" s="2" t="s">
        <v>17</v>
      </c>
      <c r="D242" s="3">
        <v>65</v>
      </c>
      <c r="E242" s="2" t="s">
        <v>18</v>
      </c>
      <c r="F242" s="2" t="s">
        <v>23</v>
      </c>
      <c r="G242" s="4">
        <v>166323</v>
      </c>
      <c r="H242" s="2" t="s">
        <v>14</v>
      </c>
      <c r="I242" s="1">
        <v>45420</v>
      </c>
      <c r="J242" t="str">
        <f ca="1">DATEDIF(Table2[[#This Row],[Join_Date]], TODAY(), "Y") &amp; "yrs"</f>
        <v>1yrs</v>
      </c>
      <c r="K242" t="str">
        <f>IF(Table2[[#This Row],[Age]]&lt;=19,"Teen",
   IF(Table2[[#This Row],[Age]]&lt;=35,"Young Adult",
      IF(Table2[[#This Row],[Age]]&lt;=55,"Middle-Age",
         "Old")))</f>
        <v>Old</v>
      </c>
      <c r="L242" t="str">
        <f>IF(Table2[[#This Row],[Income]]&lt;=30000,"Low",
   IF(Table2[[#This Row],[Income]]&lt;=60000,"Medium",
      IF(Table2[[#This Row],[Income]]&lt;=100000,"High",
         "Premium")))</f>
        <v>Premium</v>
      </c>
    </row>
    <row r="243" spans="1:12" x14ac:dyDescent="0.35">
      <c r="A243" t="s">
        <v>507</v>
      </c>
      <c r="B243" s="2" t="s">
        <v>508</v>
      </c>
      <c r="C243" s="2" t="s">
        <v>11</v>
      </c>
      <c r="D243" s="3">
        <v>53</v>
      </c>
      <c r="E243" s="2" t="s">
        <v>30</v>
      </c>
      <c r="F243" s="2" t="s">
        <v>27</v>
      </c>
      <c r="G243" s="4">
        <v>142413</v>
      </c>
      <c r="H243" s="2" t="s">
        <v>20</v>
      </c>
      <c r="I243" s="1">
        <v>44622</v>
      </c>
      <c r="J243" t="str">
        <f ca="1">DATEDIF(Table2[[#This Row],[Join_Date]], TODAY(), "Y") &amp; "yrs"</f>
        <v>3yrs</v>
      </c>
      <c r="K243" t="str">
        <f>IF(Table2[[#This Row],[Age]]&lt;=19,"Teen",
   IF(Table2[[#This Row],[Age]]&lt;=35,"Young Adult",
      IF(Table2[[#This Row],[Age]]&lt;=55,"Middle-Age",
         "Old")))</f>
        <v>Middle-Age</v>
      </c>
      <c r="L243" t="str">
        <f>IF(Table2[[#This Row],[Income]]&lt;=30000,"Low",
   IF(Table2[[#This Row],[Income]]&lt;=60000,"Medium",
      IF(Table2[[#This Row],[Income]]&lt;=100000,"High",
         "Premium")))</f>
        <v>Premium</v>
      </c>
    </row>
    <row r="244" spans="1:12" x14ac:dyDescent="0.35">
      <c r="A244" t="s">
        <v>509</v>
      </c>
      <c r="B244" s="2" t="s">
        <v>510</v>
      </c>
      <c r="C244" s="2" t="s">
        <v>17</v>
      </c>
      <c r="D244" s="3">
        <v>35</v>
      </c>
      <c r="E244" s="2" t="s">
        <v>18</v>
      </c>
      <c r="F244" s="2" t="s">
        <v>37</v>
      </c>
      <c r="G244" s="4">
        <v>20526</v>
      </c>
      <c r="H244" s="2" t="s">
        <v>14</v>
      </c>
      <c r="I244" s="1">
        <v>43688</v>
      </c>
      <c r="J244" t="str">
        <f ca="1">DATEDIF(Table2[[#This Row],[Join_Date]], TODAY(), "Y") &amp; "yrs"</f>
        <v>6yrs</v>
      </c>
      <c r="K244" t="str">
        <f>IF(Table2[[#This Row],[Age]]&lt;=19,"Teen",
   IF(Table2[[#This Row],[Age]]&lt;=35,"Young Adult",
      IF(Table2[[#This Row],[Age]]&lt;=55,"Middle-Age",
         "Old")))</f>
        <v>Young Adult</v>
      </c>
      <c r="L244" t="str">
        <f>IF(Table2[[#This Row],[Income]]&lt;=30000,"Low",
   IF(Table2[[#This Row],[Income]]&lt;=60000,"Medium",
      IF(Table2[[#This Row],[Income]]&lt;=100000,"High",
         "Premium")))</f>
        <v>Low</v>
      </c>
    </row>
    <row r="245" spans="1:12" x14ac:dyDescent="0.35">
      <c r="A245" t="s">
        <v>511</v>
      </c>
      <c r="B245" s="2" t="s">
        <v>512</v>
      </c>
      <c r="C245" s="2" t="s">
        <v>11</v>
      </c>
      <c r="D245" s="3">
        <v>66</v>
      </c>
      <c r="E245" s="2" t="s">
        <v>12</v>
      </c>
      <c r="F245" s="2" t="s">
        <v>42</v>
      </c>
      <c r="G245" s="4">
        <v>88760</v>
      </c>
      <c r="H245" s="2" t="s">
        <v>24</v>
      </c>
      <c r="I245" s="1">
        <v>44922</v>
      </c>
      <c r="J245" t="str">
        <f ca="1">DATEDIF(Table2[[#This Row],[Join_Date]], TODAY(), "Y") &amp; "yrs"</f>
        <v>3yrs</v>
      </c>
      <c r="K245" t="str">
        <f>IF(Table2[[#This Row],[Age]]&lt;=19,"Teen",
   IF(Table2[[#This Row],[Age]]&lt;=35,"Young Adult",
      IF(Table2[[#This Row],[Age]]&lt;=55,"Middle-Age",
         "Old")))</f>
        <v>Old</v>
      </c>
      <c r="L245" t="str">
        <f>IF(Table2[[#This Row],[Income]]&lt;=30000,"Low",
   IF(Table2[[#This Row],[Income]]&lt;=60000,"Medium",
      IF(Table2[[#This Row],[Income]]&lt;=100000,"High",
         "Premium")))</f>
        <v>High</v>
      </c>
    </row>
    <row r="246" spans="1:12" x14ac:dyDescent="0.35">
      <c r="A246" t="s">
        <v>513</v>
      </c>
      <c r="B246" s="2" t="s">
        <v>514</v>
      </c>
      <c r="C246" s="2" t="s">
        <v>11</v>
      </c>
      <c r="D246" s="3">
        <v>56</v>
      </c>
      <c r="E246" s="2" t="s">
        <v>34</v>
      </c>
      <c r="F246" s="2" t="s">
        <v>37</v>
      </c>
      <c r="G246" s="4">
        <v>67837</v>
      </c>
      <c r="H246" s="2" t="s">
        <v>20</v>
      </c>
      <c r="I246" s="1">
        <v>43395</v>
      </c>
      <c r="J246" t="str">
        <f ca="1">DATEDIF(Table2[[#This Row],[Join_Date]], TODAY(), "Y") &amp; "yrs"</f>
        <v>7yrs</v>
      </c>
      <c r="K246" t="str">
        <f>IF(Table2[[#This Row],[Age]]&lt;=19,"Teen",
   IF(Table2[[#This Row],[Age]]&lt;=35,"Young Adult",
      IF(Table2[[#This Row],[Age]]&lt;=55,"Middle-Age",
         "Old")))</f>
        <v>Old</v>
      </c>
      <c r="L246" t="str">
        <f>IF(Table2[[#This Row],[Income]]&lt;=30000,"Low",
   IF(Table2[[#This Row],[Income]]&lt;=60000,"Medium",
      IF(Table2[[#This Row],[Income]]&lt;=100000,"High",
         "Premium")))</f>
        <v>High</v>
      </c>
    </row>
    <row r="247" spans="1:12" x14ac:dyDescent="0.35">
      <c r="A247" t="s">
        <v>515</v>
      </c>
      <c r="B247" s="2" t="s">
        <v>516</v>
      </c>
      <c r="C247" s="2" t="s">
        <v>17</v>
      </c>
      <c r="D247" s="3">
        <v>49</v>
      </c>
      <c r="E247" s="2" t="s">
        <v>12</v>
      </c>
      <c r="F247" s="2" t="s">
        <v>31</v>
      </c>
      <c r="G247" s="4">
        <v>31536</v>
      </c>
      <c r="H247" s="2" t="s">
        <v>20</v>
      </c>
      <c r="I247" s="1">
        <v>43113</v>
      </c>
      <c r="J247" t="str">
        <f ca="1">DATEDIF(Table2[[#This Row],[Join_Date]], TODAY(), "Y") &amp; "yrs"</f>
        <v>8yrs</v>
      </c>
      <c r="K247" t="str">
        <f>IF(Table2[[#This Row],[Age]]&lt;=19,"Teen",
   IF(Table2[[#This Row],[Age]]&lt;=35,"Young Adult",
      IF(Table2[[#This Row],[Age]]&lt;=55,"Middle-Age",
         "Old")))</f>
        <v>Middle-Age</v>
      </c>
      <c r="L247" t="str">
        <f>IF(Table2[[#This Row],[Income]]&lt;=30000,"Low",
   IF(Table2[[#This Row],[Income]]&lt;=60000,"Medium",
      IF(Table2[[#This Row],[Income]]&lt;=100000,"High",
         "Premium")))</f>
        <v>Medium</v>
      </c>
    </row>
    <row r="248" spans="1:12" x14ac:dyDescent="0.35">
      <c r="A248" t="s">
        <v>517</v>
      </c>
      <c r="B248" s="2" t="s">
        <v>518</v>
      </c>
      <c r="C248" s="2" t="s">
        <v>11</v>
      </c>
      <c r="D248" s="3">
        <v>41</v>
      </c>
      <c r="E248" s="2" t="s">
        <v>12</v>
      </c>
      <c r="F248" s="2" t="s">
        <v>31</v>
      </c>
      <c r="G248" s="4">
        <v>48541</v>
      </c>
      <c r="H248" s="2" t="s">
        <v>14</v>
      </c>
      <c r="I248" s="1">
        <v>44257</v>
      </c>
      <c r="J248" t="str">
        <f ca="1">DATEDIF(Table2[[#This Row],[Join_Date]], TODAY(), "Y") &amp; "yrs"</f>
        <v>4yrs</v>
      </c>
      <c r="K248" t="str">
        <f>IF(Table2[[#This Row],[Age]]&lt;=19,"Teen",
   IF(Table2[[#This Row],[Age]]&lt;=35,"Young Adult",
      IF(Table2[[#This Row],[Age]]&lt;=55,"Middle-Age",
         "Old")))</f>
        <v>Middle-Age</v>
      </c>
      <c r="L248" t="str">
        <f>IF(Table2[[#This Row],[Income]]&lt;=30000,"Low",
   IF(Table2[[#This Row],[Income]]&lt;=60000,"Medium",
      IF(Table2[[#This Row],[Income]]&lt;=100000,"High",
         "Premium")))</f>
        <v>Medium</v>
      </c>
    </row>
    <row r="249" spans="1:12" x14ac:dyDescent="0.35">
      <c r="A249" t="s">
        <v>519</v>
      </c>
      <c r="B249" s="2" t="s">
        <v>520</v>
      </c>
      <c r="C249" s="2" t="s">
        <v>11</v>
      </c>
      <c r="D249" s="3">
        <v>40</v>
      </c>
      <c r="E249" s="2" t="s">
        <v>12</v>
      </c>
      <c r="F249" s="2" t="s">
        <v>13</v>
      </c>
      <c r="G249" s="4">
        <v>99083</v>
      </c>
      <c r="H249" s="2" t="s">
        <v>20</v>
      </c>
      <c r="I249" s="1">
        <v>45179</v>
      </c>
      <c r="J249" t="str">
        <f ca="1">DATEDIF(Table2[[#This Row],[Join_Date]], TODAY(), "Y") &amp; "yrs"</f>
        <v>2yrs</v>
      </c>
      <c r="K249" t="str">
        <f>IF(Table2[[#This Row],[Age]]&lt;=19,"Teen",
   IF(Table2[[#This Row],[Age]]&lt;=35,"Young Adult",
      IF(Table2[[#This Row],[Age]]&lt;=55,"Middle-Age",
         "Old")))</f>
        <v>Middle-Age</v>
      </c>
      <c r="L249" t="str">
        <f>IF(Table2[[#This Row],[Income]]&lt;=30000,"Low",
   IF(Table2[[#This Row],[Income]]&lt;=60000,"Medium",
      IF(Table2[[#This Row],[Income]]&lt;=100000,"High",
         "Premium")))</f>
        <v>High</v>
      </c>
    </row>
    <row r="250" spans="1:12" x14ac:dyDescent="0.35">
      <c r="A250" t="s">
        <v>521</v>
      </c>
      <c r="B250" s="2" t="s">
        <v>522</v>
      </c>
      <c r="C250" s="2" t="s">
        <v>11</v>
      </c>
      <c r="D250" s="3">
        <v>49</v>
      </c>
      <c r="E250" s="2" t="s">
        <v>12</v>
      </c>
      <c r="F250" s="2" t="s">
        <v>31</v>
      </c>
      <c r="G250" s="4">
        <v>54531</v>
      </c>
      <c r="H250" s="2" t="s">
        <v>24</v>
      </c>
      <c r="I250" s="1">
        <v>44203</v>
      </c>
      <c r="J250" t="str">
        <f ca="1">DATEDIF(Table2[[#This Row],[Join_Date]], TODAY(), "Y") &amp; "yrs"</f>
        <v>5yrs</v>
      </c>
      <c r="K250" t="str">
        <f>IF(Table2[[#This Row],[Age]]&lt;=19,"Teen",
   IF(Table2[[#This Row],[Age]]&lt;=35,"Young Adult",
      IF(Table2[[#This Row],[Age]]&lt;=55,"Middle-Age",
         "Old")))</f>
        <v>Middle-Age</v>
      </c>
      <c r="L250" t="str">
        <f>IF(Table2[[#This Row],[Income]]&lt;=30000,"Low",
   IF(Table2[[#This Row],[Income]]&lt;=60000,"Medium",
      IF(Table2[[#This Row],[Income]]&lt;=100000,"High",
         "Premium")))</f>
        <v>Medium</v>
      </c>
    </row>
    <row r="251" spans="1:12" x14ac:dyDescent="0.35">
      <c r="A251" t="s">
        <v>523</v>
      </c>
      <c r="B251" s="2" t="s">
        <v>524</v>
      </c>
      <c r="C251" s="2" t="s">
        <v>11</v>
      </c>
      <c r="D251" s="3">
        <v>54</v>
      </c>
      <c r="E251" s="2" t="s">
        <v>34</v>
      </c>
      <c r="F251" s="2" t="s">
        <v>19</v>
      </c>
      <c r="G251" s="4">
        <v>28712</v>
      </c>
      <c r="H251" s="2" t="s">
        <v>14</v>
      </c>
      <c r="I251" s="1">
        <v>43294</v>
      </c>
      <c r="J251" t="str">
        <f ca="1">DATEDIF(Table2[[#This Row],[Join_Date]], TODAY(), "Y") &amp; "yrs"</f>
        <v>7yrs</v>
      </c>
      <c r="K251" t="str">
        <f>IF(Table2[[#This Row],[Age]]&lt;=19,"Teen",
   IF(Table2[[#This Row],[Age]]&lt;=35,"Young Adult",
      IF(Table2[[#This Row],[Age]]&lt;=55,"Middle-Age",
         "Old")))</f>
        <v>Middle-Age</v>
      </c>
      <c r="L251" t="str">
        <f>IF(Table2[[#This Row],[Income]]&lt;=30000,"Low",
   IF(Table2[[#This Row],[Income]]&lt;=60000,"Medium",
      IF(Table2[[#This Row],[Income]]&lt;=100000,"High",
         "Premium")))</f>
        <v>Low</v>
      </c>
    </row>
    <row r="252" spans="1:12" x14ac:dyDescent="0.35">
      <c r="A252" t="s">
        <v>525</v>
      </c>
      <c r="B252" s="2" t="s">
        <v>526</v>
      </c>
      <c r="C252" s="2" t="s">
        <v>17</v>
      </c>
      <c r="D252" s="3">
        <v>29</v>
      </c>
      <c r="E252" s="2" t="s">
        <v>12</v>
      </c>
      <c r="F252" s="2" t="s">
        <v>23</v>
      </c>
      <c r="G252" s="4">
        <v>124101</v>
      </c>
      <c r="H252" s="2" t="s">
        <v>20</v>
      </c>
      <c r="I252" s="1">
        <v>45422</v>
      </c>
      <c r="J252" t="str">
        <f ca="1">DATEDIF(Table2[[#This Row],[Join_Date]], TODAY(), "Y") &amp; "yrs"</f>
        <v>1yrs</v>
      </c>
      <c r="K252" t="str">
        <f>IF(Table2[[#This Row],[Age]]&lt;=19,"Teen",
   IF(Table2[[#This Row],[Age]]&lt;=35,"Young Adult",
      IF(Table2[[#This Row],[Age]]&lt;=55,"Middle-Age",
         "Old")))</f>
        <v>Young Adult</v>
      </c>
      <c r="L252" t="str">
        <f>IF(Table2[[#This Row],[Income]]&lt;=30000,"Low",
   IF(Table2[[#This Row],[Income]]&lt;=60000,"Medium",
      IF(Table2[[#This Row],[Income]]&lt;=100000,"High",
         "Premium")))</f>
        <v>Premium</v>
      </c>
    </row>
    <row r="253" spans="1:12" x14ac:dyDescent="0.35">
      <c r="A253" t="s">
        <v>527</v>
      </c>
      <c r="B253" s="2" t="s">
        <v>528</v>
      </c>
      <c r="C253" s="2" t="s">
        <v>11</v>
      </c>
      <c r="D253" s="3">
        <v>66</v>
      </c>
      <c r="E253" s="2" t="s">
        <v>34</v>
      </c>
      <c r="F253" s="2" t="s">
        <v>23</v>
      </c>
      <c r="G253" s="4">
        <v>85455</v>
      </c>
      <c r="H253" s="2" t="s">
        <v>20</v>
      </c>
      <c r="I253" s="1">
        <v>45078</v>
      </c>
      <c r="J253" t="str">
        <f ca="1">DATEDIF(Table2[[#This Row],[Join_Date]], TODAY(), "Y") &amp; "yrs"</f>
        <v>2yrs</v>
      </c>
      <c r="K253" t="str">
        <f>IF(Table2[[#This Row],[Age]]&lt;=19,"Teen",
   IF(Table2[[#This Row],[Age]]&lt;=35,"Young Adult",
      IF(Table2[[#This Row],[Age]]&lt;=55,"Middle-Age",
         "Old")))</f>
        <v>Old</v>
      </c>
      <c r="L253" t="str">
        <f>IF(Table2[[#This Row],[Income]]&lt;=30000,"Low",
   IF(Table2[[#This Row],[Income]]&lt;=60000,"Medium",
      IF(Table2[[#This Row],[Income]]&lt;=100000,"High",
         "Premium")))</f>
        <v>High</v>
      </c>
    </row>
    <row r="254" spans="1:12" x14ac:dyDescent="0.35">
      <c r="A254" t="s">
        <v>529</v>
      </c>
      <c r="B254" s="2" t="s">
        <v>530</v>
      </c>
      <c r="C254" s="2" t="s">
        <v>17</v>
      </c>
      <c r="D254" s="3">
        <v>72</v>
      </c>
      <c r="E254" s="2" t="s">
        <v>34</v>
      </c>
      <c r="F254" s="2" t="s">
        <v>27</v>
      </c>
      <c r="G254" s="4">
        <v>94744</v>
      </c>
      <c r="H254" s="2" t="s">
        <v>14</v>
      </c>
      <c r="I254" s="1">
        <v>43323</v>
      </c>
      <c r="J254" t="str">
        <f ca="1">DATEDIF(Table2[[#This Row],[Join_Date]], TODAY(), "Y") &amp; "yrs"</f>
        <v>7yrs</v>
      </c>
      <c r="K254" t="str">
        <f>IF(Table2[[#This Row],[Age]]&lt;=19,"Teen",
   IF(Table2[[#This Row],[Age]]&lt;=35,"Young Adult",
      IF(Table2[[#This Row],[Age]]&lt;=55,"Middle-Age",
         "Old")))</f>
        <v>Old</v>
      </c>
      <c r="L254" t="str">
        <f>IF(Table2[[#This Row],[Income]]&lt;=30000,"Low",
   IF(Table2[[#This Row],[Income]]&lt;=60000,"Medium",
      IF(Table2[[#This Row],[Income]]&lt;=100000,"High",
         "Premium")))</f>
        <v>High</v>
      </c>
    </row>
    <row r="255" spans="1:12" x14ac:dyDescent="0.35">
      <c r="A255" t="s">
        <v>531</v>
      </c>
      <c r="B255" s="2" t="s">
        <v>532</v>
      </c>
      <c r="C255" s="2" t="s">
        <v>11</v>
      </c>
      <c r="D255" s="3">
        <v>30</v>
      </c>
      <c r="E255" s="2" t="s">
        <v>18</v>
      </c>
      <c r="F255" s="2" t="s">
        <v>27</v>
      </c>
      <c r="G255" s="4">
        <v>149749</v>
      </c>
      <c r="H255" s="2" t="s">
        <v>14</v>
      </c>
      <c r="I255" s="1">
        <v>42930</v>
      </c>
      <c r="J255" t="str">
        <f ca="1">DATEDIF(Table2[[#This Row],[Join_Date]], TODAY(), "Y") &amp; "yrs"</f>
        <v>8yrs</v>
      </c>
      <c r="K255" t="str">
        <f>IF(Table2[[#This Row],[Age]]&lt;=19,"Teen",
   IF(Table2[[#This Row],[Age]]&lt;=35,"Young Adult",
      IF(Table2[[#This Row],[Age]]&lt;=55,"Middle-Age",
         "Old")))</f>
        <v>Young Adult</v>
      </c>
      <c r="L255" t="str">
        <f>IF(Table2[[#This Row],[Income]]&lt;=30000,"Low",
   IF(Table2[[#This Row],[Income]]&lt;=60000,"Medium",
      IF(Table2[[#This Row],[Income]]&lt;=100000,"High",
         "Premium")))</f>
        <v>Premium</v>
      </c>
    </row>
    <row r="256" spans="1:12" x14ac:dyDescent="0.35">
      <c r="A256" t="s">
        <v>533</v>
      </c>
      <c r="B256" s="2" t="s">
        <v>534</v>
      </c>
      <c r="C256" s="2" t="s">
        <v>11</v>
      </c>
      <c r="D256" s="3">
        <v>40</v>
      </c>
      <c r="E256" s="2" t="s">
        <v>30</v>
      </c>
      <c r="F256" s="2" t="s">
        <v>23</v>
      </c>
      <c r="G256" s="4">
        <v>25109</v>
      </c>
      <c r="H256" s="2" t="s">
        <v>14</v>
      </c>
      <c r="I256" s="1">
        <v>42673</v>
      </c>
      <c r="J256" t="str">
        <f ca="1">DATEDIF(Table2[[#This Row],[Join_Date]], TODAY(), "Y") &amp; "yrs"</f>
        <v>9yrs</v>
      </c>
      <c r="K256" t="str">
        <f>IF(Table2[[#This Row],[Age]]&lt;=19,"Teen",
   IF(Table2[[#This Row],[Age]]&lt;=35,"Young Adult",
      IF(Table2[[#This Row],[Age]]&lt;=55,"Middle-Age",
         "Old")))</f>
        <v>Middle-Age</v>
      </c>
      <c r="L256" t="str">
        <f>IF(Table2[[#This Row],[Income]]&lt;=30000,"Low",
   IF(Table2[[#This Row],[Income]]&lt;=60000,"Medium",
      IF(Table2[[#This Row],[Income]]&lt;=100000,"High",
         "Premium")))</f>
        <v>Low</v>
      </c>
    </row>
    <row r="257" spans="1:12" x14ac:dyDescent="0.35">
      <c r="A257" t="s">
        <v>535</v>
      </c>
      <c r="B257" s="2" t="s">
        <v>536</v>
      </c>
      <c r="C257" s="2" t="s">
        <v>11</v>
      </c>
      <c r="D257" s="3">
        <v>42</v>
      </c>
      <c r="E257" s="2" t="s">
        <v>30</v>
      </c>
      <c r="F257" s="2" t="s">
        <v>42</v>
      </c>
      <c r="G257" s="4">
        <v>69268</v>
      </c>
      <c r="H257" s="2" t="s">
        <v>14</v>
      </c>
      <c r="I257" s="1">
        <v>44081</v>
      </c>
      <c r="J257" t="str">
        <f ca="1">DATEDIF(Table2[[#This Row],[Join_Date]], TODAY(), "Y") &amp; "yrs"</f>
        <v>5yrs</v>
      </c>
      <c r="K257" t="str">
        <f>IF(Table2[[#This Row],[Age]]&lt;=19,"Teen",
   IF(Table2[[#This Row],[Age]]&lt;=35,"Young Adult",
      IF(Table2[[#This Row],[Age]]&lt;=55,"Middle-Age",
         "Old")))</f>
        <v>Middle-Age</v>
      </c>
      <c r="L257" t="str">
        <f>IF(Table2[[#This Row],[Income]]&lt;=30000,"Low",
   IF(Table2[[#This Row],[Income]]&lt;=60000,"Medium",
      IF(Table2[[#This Row],[Income]]&lt;=100000,"High",
         "Premium")))</f>
        <v>High</v>
      </c>
    </row>
    <row r="258" spans="1:12" x14ac:dyDescent="0.35">
      <c r="A258" t="s">
        <v>537</v>
      </c>
      <c r="B258" s="2" t="s">
        <v>538</v>
      </c>
      <c r="C258" s="2" t="s">
        <v>11</v>
      </c>
      <c r="D258" s="3">
        <v>52</v>
      </c>
      <c r="E258" s="2" t="s">
        <v>34</v>
      </c>
      <c r="F258" s="2" t="s">
        <v>27</v>
      </c>
      <c r="G258" s="4">
        <v>74615</v>
      </c>
      <c r="H258" s="2" t="s">
        <v>14</v>
      </c>
      <c r="I258" s="1">
        <v>42953</v>
      </c>
      <c r="J258" t="str">
        <f ca="1">DATEDIF(Table2[[#This Row],[Join_Date]], TODAY(), "Y") &amp; "yrs"</f>
        <v>8yrs</v>
      </c>
      <c r="K258" t="str">
        <f>IF(Table2[[#This Row],[Age]]&lt;=19,"Teen",
   IF(Table2[[#This Row],[Age]]&lt;=35,"Young Adult",
      IF(Table2[[#This Row],[Age]]&lt;=55,"Middle-Age",
         "Old")))</f>
        <v>Middle-Age</v>
      </c>
      <c r="L258" t="str">
        <f>IF(Table2[[#This Row],[Income]]&lt;=30000,"Low",
   IF(Table2[[#This Row],[Income]]&lt;=60000,"Medium",
      IF(Table2[[#This Row],[Income]]&lt;=100000,"High",
         "Premium")))</f>
        <v>High</v>
      </c>
    </row>
    <row r="259" spans="1:12" x14ac:dyDescent="0.35">
      <c r="A259" t="s">
        <v>539</v>
      </c>
      <c r="B259" s="2" t="s">
        <v>540</v>
      </c>
      <c r="C259" s="2" t="s">
        <v>17</v>
      </c>
      <c r="D259" s="3">
        <v>58</v>
      </c>
      <c r="E259" s="2" t="s">
        <v>18</v>
      </c>
      <c r="F259" s="2" t="s">
        <v>13</v>
      </c>
      <c r="G259" s="4">
        <v>102503</v>
      </c>
      <c r="H259" s="2" t="s">
        <v>14</v>
      </c>
      <c r="I259" s="1">
        <v>45819</v>
      </c>
      <c r="J259" t="str">
        <f ca="1">DATEDIF(Table2[[#This Row],[Join_Date]], TODAY(), "Y") &amp; "yrs"</f>
        <v>0yrs</v>
      </c>
      <c r="K259" t="str">
        <f>IF(Table2[[#This Row],[Age]]&lt;=19,"Teen",
   IF(Table2[[#This Row],[Age]]&lt;=35,"Young Adult",
      IF(Table2[[#This Row],[Age]]&lt;=55,"Middle-Age",
         "Old")))</f>
        <v>Old</v>
      </c>
      <c r="L259" t="str">
        <f>IF(Table2[[#This Row],[Income]]&lt;=30000,"Low",
   IF(Table2[[#This Row],[Income]]&lt;=60000,"Medium",
      IF(Table2[[#This Row],[Income]]&lt;=100000,"High",
         "Premium")))</f>
        <v>Premium</v>
      </c>
    </row>
    <row r="260" spans="1:12" x14ac:dyDescent="0.35">
      <c r="A260" t="s">
        <v>541</v>
      </c>
      <c r="B260" s="2" t="s">
        <v>542</v>
      </c>
      <c r="C260" s="2" t="s">
        <v>17</v>
      </c>
      <c r="D260" s="3">
        <v>47</v>
      </c>
      <c r="E260" s="2" t="s">
        <v>34</v>
      </c>
      <c r="F260" s="2" t="s">
        <v>31</v>
      </c>
      <c r="G260" s="4">
        <v>180831</v>
      </c>
      <c r="H260" s="2" t="s">
        <v>14</v>
      </c>
      <c r="I260" s="1">
        <v>44115</v>
      </c>
      <c r="J260" t="str">
        <f ca="1">DATEDIF(Table2[[#This Row],[Join_Date]], TODAY(), "Y") &amp; "yrs"</f>
        <v>5yrs</v>
      </c>
      <c r="K260" t="str">
        <f>IF(Table2[[#This Row],[Age]]&lt;=19,"Teen",
   IF(Table2[[#This Row],[Age]]&lt;=35,"Young Adult",
      IF(Table2[[#This Row],[Age]]&lt;=55,"Middle-Age",
         "Old")))</f>
        <v>Middle-Age</v>
      </c>
      <c r="L260" t="str">
        <f>IF(Table2[[#This Row],[Income]]&lt;=30000,"Low",
   IF(Table2[[#This Row],[Income]]&lt;=60000,"Medium",
      IF(Table2[[#This Row],[Income]]&lt;=100000,"High",
         "Premium")))</f>
        <v>Premium</v>
      </c>
    </row>
    <row r="261" spans="1:12" x14ac:dyDescent="0.35">
      <c r="A261" t="s">
        <v>543</v>
      </c>
      <c r="B261" s="2" t="s">
        <v>544</v>
      </c>
      <c r="C261" s="2" t="s">
        <v>11</v>
      </c>
      <c r="D261" s="3">
        <v>34</v>
      </c>
      <c r="E261" s="2" t="s">
        <v>34</v>
      </c>
      <c r="F261" s="2" t="s">
        <v>23</v>
      </c>
      <c r="G261" s="4">
        <v>105708</v>
      </c>
      <c r="H261" s="2" t="s">
        <v>14</v>
      </c>
      <c r="I261" s="1">
        <v>44588</v>
      </c>
      <c r="J261" t="str">
        <f ca="1">DATEDIF(Table2[[#This Row],[Join_Date]], TODAY(), "Y") &amp; "yrs"</f>
        <v>3yrs</v>
      </c>
      <c r="K261" t="str">
        <f>IF(Table2[[#This Row],[Age]]&lt;=19,"Teen",
   IF(Table2[[#This Row],[Age]]&lt;=35,"Young Adult",
      IF(Table2[[#This Row],[Age]]&lt;=55,"Middle-Age",
         "Old")))</f>
        <v>Young Adult</v>
      </c>
      <c r="L261" t="str">
        <f>IF(Table2[[#This Row],[Income]]&lt;=30000,"Low",
   IF(Table2[[#This Row],[Income]]&lt;=60000,"Medium",
      IF(Table2[[#This Row],[Income]]&lt;=100000,"High",
         "Premium")))</f>
        <v>Premium</v>
      </c>
    </row>
    <row r="262" spans="1:12" x14ac:dyDescent="0.35">
      <c r="A262" t="s">
        <v>545</v>
      </c>
      <c r="B262" s="2" t="s">
        <v>546</v>
      </c>
      <c r="C262" s="2" t="s">
        <v>11</v>
      </c>
      <c r="D262" s="3">
        <v>66</v>
      </c>
      <c r="E262" s="2" t="s">
        <v>34</v>
      </c>
      <c r="F262" s="2" t="s">
        <v>27</v>
      </c>
      <c r="G262" s="4">
        <v>122471</v>
      </c>
      <c r="H262" s="2" t="s">
        <v>24</v>
      </c>
      <c r="I262" s="1">
        <v>43744</v>
      </c>
      <c r="J262" t="str">
        <f ca="1">DATEDIF(Table2[[#This Row],[Join_Date]], TODAY(), "Y") &amp; "yrs"</f>
        <v>6yrs</v>
      </c>
      <c r="K262" t="str">
        <f>IF(Table2[[#This Row],[Age]]&lt;=19,"Teen",
   IF(Table2[[#This Row],[Age]]&lt;=35,"Young Adult",
      IF(Table2[[#This Row],[Age]]&lt;=55,"Middle-Age",
         "Old")))</f>
        <v>Old</v>
      </c>
      <c r="L262" t="str">
        <f>IF(Table2[[#This Row],[Income]]&lt;=30000,"Low",
   IF(Table2[[#This Row],[Income]]&lt;=60000,"Medium",
      IF(Table2[[#This Row],[Income]]&lt;=100000,"High",
         "Premium")))</f>
        <v>Premium</v>
      </c>
    </row>
    <row r="263" spans="1:12" x14ac:dyDescent="0.35">
      <c r="A263" t="s">
        <v>547</v>
      </c>
      <c r="B263" s="2" t="s">
        <v>548</v>
      </c>
      <c r="C263" s="2" t="s">
        <v>17</v>
      </c>
      <c r="D263" s="3">
        <v>37</v>
      </c>
      <c r="E263" s="2" t="s">
        <v>18</v>
      </c>
      <c r="F263" s="2" t="s">
        <v>23</v>
      </c>
      <c r="G263" s="4">
        <v>177661</v>
      </c>
      <c r="H263" s="2" t="s">
        <v>14</v>
      </c>
      <c r="I263" s="1">
        <v>45516</v>
      </c>
      <c r="J263" t="str">
        <f ca="1">DATEDIF(Table2[[#This Row],[Join_Date]], TODAY(), "Y") &amp; "yrs"</f>
        <v>1yrs</v>
      </c>
      <c r="K263" t="str">
        <f>IF(Table2[[#This Row],[Age]]&lt;=19,"Teen",
   IF(Table2[[#This Row],[Age]]&lt;=35,"Young Adult",
      IF(Table2[[#This Row],[Age]]&lt;=55,"Middle-Age",
         "Old")))</f>
        <v>Middle-Age</v>
      </c>
      <c r="L263" t="str">
        <f>IF(Table2[[#This Row],[Income]]&lt;=30000,"Low",
   IF(Table2[[#This Row],[Income]]&lt;=60000,"Medium",
      IF(Table2[[#This Row],[Income]]&lt;=100000,"High",
         "Premium")))</f>
        <v>Premium</v>
      </c>
    </row>
    <row r="264" spans="1:12" x14ac:dyDescent="0.35">
      <c r="A264" t="s">
        <v>549</v>
      </c>
      <c r="B264" s="2" t="s">
        <v>550</v>
      </c>
      <c r="C264" s="2" t="s">
        <v>11</v>
      </c>
      <c r="D264" s="3">
        <v>65</v>
      </c>
      <c r="E264" s="2" t="s">
        <v>30</v>
      </c>
      <c r="F264" s="2" t="s">
        <v>19</v>
      </c>
      <c r="G264" s="4">
        <v>181087</v>
      </c>
      <c r="H264" s="2" t="s">
        <v>24</v>
      </c>
      <c r="I264" s="1">
        <v>43829</v>
      </c>
      <c r="J264" t="str">
        <f ca="1">DATEDIF(Table2[[#This Row],[Join_Date]], TODAY(), "Y") &amp; "yrs"</f>
        <v>6yrs</v>
      </c>
      <c r="K264" t="str">
        <f>IF(Table2[[#This Row],[Age]]&lt;=19,"Teen",
   IF(Table2[[#This Row],[Age]]&lt;=35,"Young Adult",
      IF(Table2[[#This Row],[Age]]&lt;=55,"Middle-Age",
         "Old")))</f>
        <v>Old</v>
      </c>
      <c r="L264" t="str">
        <f>IF(Table2[[#This Row],[Income]]&lt;=30000,"Low",
   IF(Table2[[#This Row],[Income]]&lt;=60000,"Medium",
      IF(Table2[[#This Row],[Income]]&lt;=100000,"High",
         "Premium")))</f>
        <v>Premium</v>
      </c>
    </row>
    <row r="265" spans="1:12" x14ac:dyDescent="0.35">
      <c r="A265" t="s">
        <v>551</v>
      </c>
      <c r="B265" s="2" t="s">
        <v>552</v>
      </c>
      <c r="C265" s="2" t="s">
        <v>11</v>
      </c>
      <c r="D265" s="3">
        <v>42</v>
      </c>
      <c r="E265" s="2" t="s">
        <v>18</v>
      </c>
      <c r="F265" s="2" t="s">
        <v>37</v>
      </c>
      <c r="G265" s="4">
        <v>180081</v>
      </c>
      <c r="H265" s="2" t="s">
        <v>14</v>
      </c>
      <c r="I265" s="1">
        <v>42297</v>
      </c>
      <c r="J265" t="str">
        <f ca="1">DATEDIF(Table2[[#This Row],[Join_Date]], TODAY(), "Y") &amp; "yrs"</f>
        <v>10yrs</v>
      </c>
      <c r="K265" t="str">
        <f>IF(Table2[[#This Row],[Age]]&lt;=19,"Teen",
   IF(Table2[[#This Row],[Age]]&lt;=35,"Young Adult",
      IF(Table2[[#This Row],[Age]]&lt;=55,"Middle-Age",
         "Old")))</f>
        <v>Middle-Age</v>
      </c>
      <c r="L265" t="str">
        <f>IF(Table2[[#This Row],[Income]]&lt;=30000,"Low",
   IF(Table2[[#This Row],[Income]]&lt;=60000,"Medium",
      IF(Table2[[#This Row],[Income]]&lt;=100000,"High",
         "Premium")))</f>
        <v>Premium</v>
      </c>
    </row>
    <row r="266" spans="1:12" x14ac:dyDescent="0.35">
      <c r="A266" t="s">
        <v>553</v>
      </c>
      <c r="B266" s="2" t="s">
        <v>554</v>
      </c>
      <c r="C266" s="2" t="s">
        <v>11</v>
      </c>
      <c r="D266" s="3">
        <v>39</v>
      </c>
      <c r="E266" s="2" t="s">
        <v>12</v>
      </c>
      <c r="F266" s="2" t="s">
        <v>31</v>
      </c>
      <c r="G266" s="4">
        <v>103309</v>
      </c>
      <c r="H266" s="2" t="s">
        <v>14</v>
      </c>
      <c r="I266" s="1">
        <v>44102</v>
      </c>
      <c r="J266" t="str">
        <f ca="1">DATEDIF(Table2[[#This Row],[Join_Date]], TODAY(), "Y") &amp; "yrs"</f>
        <v>5yrs</v>
      </c>
      <c r="K266" t="str">
        <f>IF(Table2[[#This Row],[Age]]&lt;=19,"Teen",
   IF(Table2[[#This Row],[Age]]&lt;=35,"Young Adult",
      IF(Table2[[#This Row],[Age]]&lt;=55,"Middle-Age",
         "Old")))</f>
        <v>Middle-Age</v>
      </c>
      <c r="L266" t="str">
        <f>IF(Table2[[#This Row],[Income]]&lt;=30000,"Low",
   IF(Table2[[#This Row],[Income]]&lt;=60000,"Medium",
      IF(Table2[[#This Row],[Income]]&lt;=100000,"High",
         "Premium")))</f>
        <v>Premium</v>
      </c>
    </row>
    <row r="267" spans="1:12" x14ac:dyDescent="0.35">
      <c r="A267" t="s">
        <v>555</v>
      </c>
      <c r="B267" s="2" t="s">
        <v>556</v>
      </c>
      <c r="C267" s="2" t="s">
        <v>17</v>
      </c>
      <c r="D267" s="3">
        <v>30</v>
      </c>
      <c r="E267" s="2" t="s">
        <v>18</v>
      </c>
      <c r="F267" s="2" t="s">
        <v>23</v>
      </c>
      <c r="G267" s="4">
        <v>146446</v>
      </c>
      <c r="H267" s="2" t="s">
        <v>14</v>
      </c>
      <c r="I267" s="1">
        <v>42770</v>
      </c>
      <c r="J267" t="str">
        <f ca="1">DATEDIF(Table2[[#This Row],[Join_Date]], TODAY(), "Y") &amp; "yrs"</f>
        <v>8yrs</v>
      </c>
      <c r="K267" t="str">
        <f>IF(Table2[[#This Row],[Age]]&lt;=19,"Teen",
   IF(Table2[[#This Row],[Age]]&lt;=35,"Young Adult",
      IF(Table2[[#This Row],[Age]]&lt;=55,"Middle-Age",
         "Old")))</f>
        <v>Young Adult</v>
      </c>
      <c r="L267" t="str">
        <f>IF(Table2[[#This Row],[Income]]&lt;=30000,"Low",
   IF(Table2[[#This Row],[Income]]&lt;=60000,"Medium",
      IF(Table2[[#This Row],[Income]]&lt;=100000,"High",
         "Premium")))</f>
        <v>Premium</v>
      </c>
    </row>
    <row r="268" spans="1:12" x14ac:dyDescent="0.35">
      <c r="A268" t="s">
        <v>557</v>
      </c>
      <c r="B268" s="2" t="s">
        <v>558</v>
      </c>
      <c r="C268" s="2" t="s">
        <v>17</v>
      </c>
      <c r="D268" s="3">
        <v>36</v>
      </c>
      <c r="E268" s="2" t="s">
        <v>18</v>
      </c>
      <c r="F268" s="2" t="s">
        <v>37</v>
      </c>
      <c r="G268" s="4">
        <v>126661</v>
      </c>
      <c r="H268" s="2" t="s">
        <v>14</v>
      </c>
      <c r="I268" s="1">
        <v>44437</v>
      </c>
      <c r="J268" t="str">
        <f ca="1">DATEDIF(Table2[[#This Row],[Join_Date]], TODAY(), "Y") &amp; "yrs"</f>
        <v>4yrs</v>
      </c>
      <c r="K268" t="str">
        <f>IF(Table2[[#This Row],[Age]]&lt;=19,"Teen",
   IF(Table2[[#This Row],[Age]]&lt;=35,"Young Adult",
      IF(Table2[[#This Row],[Age]]&lt;=55,"Middle-Age",
         "Old")))</f>
        <v>Middle-Age</v>
      </c>
      <c r="L268" t="str">
        <f>IF(Table2[[#This Row],[Income]]&lt;=30000,"Low",
   IF(Table2[[#This Row],[Income]]&lt;=60000,"Medium",
      IF(Table2[[#This Row],[Income]]&lt;=100000,"High",
         "Premium")))</f>
        <v>Premium</v>
      </c>
    </row>
    <row r="269" spans="1:12" x14ac:dyDescent="0.35">
      <c r="A269" t="s">
        <v>559</v>
      </c>
      <c r="B269" s="2" t="s">
        <v>560</v>
      </c>
      <c r="C269" s="2" t="s">
        <v>17</v>
      </c>
      <c r="D269" s="3">
        <v>66</v>
      </c>
      <c r="E269" s="2" t="s">
        <v>18</v>
      </c>
      <c r="F269" s="2" t="s">
        <v>27</v>
      </c>
      <c r="G269" s="4">
        <v>177215</v>
      </c>
      <c r="H269" s="2" t="s">
        <v>14</v>
      </c>
      <c r="I269" s="1">
        <v>43819</v>
      </c>
      <c r="J269" t="str">
        <f ca="1">DATEDIF(Table2[[#This Row],[Join_Date]], TODAY(), "Y") &amp; "yrs"</f>
        <v>6yrs</v>
      </c>
      <c r="K269" t="str">
        <f>IF(Table2[[#This Row],[Age]]&lt;=19,"Teen",
   IF(Table2[[#This Row],[Age]]&lt;=35,"Young Adult",
      IF(Table2[[#This Row],[Age]]&lt;=55,"Middle-Age",
         "Old")))</f>
        <v>Old</v>
      </c>
      <c r="L269" t="str">
        <f>IF(Table2[[#This Row],[Income]]&lt;=30000,"Low",
   IF(Table2[[#This Row],[Income]]&lt;=60000,"Medium",
      IF(Table2[[#This Row],[Income]]&lt;=100000,"High",
         "Premium")))</f>
        <v>Premium</v>
      </c>
    </row>
    <row r="270" spans="1:12" x14ac:dyDescent="0.35">
      <c r="A270" t="s">
        <v>561</v>
      </c>
      <c r="B270" s="2" t="s">
        <v>562</v>
      </c>
      <c r="C270" s="2" t="s">
        <v>11</v>
      </c>
      <c r="D270" s="3">
        <v>53</v>
      </c>
      <c r="E270" s="2" t="s">
        <v>18</v>
      </c>
      <c r="F270" s="2" t="s">
        <v>37</v>
      </c>
      <c r="G270" s="4">
        <v>26154</v>
      </c>
      <c r="H270" s="2" t="s">
        <v>20</v>
      </c>
      <c r="I270" s="1">
        <v>43150</v>
      </c>
      <c r="J270" t="str">
        <f ca="1">DATEDIF(Table2[[#This Row],[Join_Date]], TODAY(), "Y") &amp; "yrs"</f>
        <v>7yrs</v>
      </c>
      <c r="K270" t="str">
        <f>IF(Table2[[#This Row],[Age]]&lt;=19,"Teen",
   IF(Table2[[#This Row],[Age]]&lt;=35,"Young Adult",
      IF(Table2[[#This Row],[Age]]&lt;=55,"Middle-Age",
         "Old")))</f>
        <v>Middle-Age</v>
      </c>
      <c r="L270" t="str">
        <f>IF(Table2[[#This Row],[Income]]&lt;=30000,"Low",
   IF(Table2[[#This Row],[Income]]&lt;=60000,"Medium",
      IF(Table2[[#This Row],[Income]]&lt;=100000,"High",
         "Premium")))</f>
        <v>Low</v>
      </c>
    </row>
    <row r="271" spans="1:12" x14ac:dyDescent="0.35">
      <c r="A271" t="s">
        <v>563</v>
      </c>
      <c r="B271" s="2" t="s">
        <v>564</v>
      </c>
      <c r="C271" s="2" t="s">
        <v>11</v>
      </c>
      <c r="D271" s="3">
        <v>29</v>
      </c>
      <c r="E271" s="2" t="s">
        <v>30</v>
      </c>
      <c r="F271" s="2" t="s">
        <v>31</v>
      </c>
      <c r="G271" s="4">
        <v>172876</v>
      </c>
      <c r="H271" s="2" t="s">
        <v>14</v>
      </c>
      <c r="I271" s="1">
        <v>42737</v>
      </c>
      <c r="J271" t="str">
        <f ca="1">DATEDIF(Table2[[#This Row],[Join_Date]], TODAY(), "Y") &amp; "yrs"</f>
        <v>9yrs</v>
      </c>
      <c r="K271" t="str">
        <f>IF(Table2[[#This Row],[Age]]&lt;=19,"Teen",
   IF(Table2[[#This Row],[Age]]&lt;=35,"Young Adult",
      IF(Table2[[#This Row],[Age]]&lt;=55,"Middle-Age",
         "Old")))</f>
        <v>Young Adult</v>
      </c>
      <c r="L271" t="str">
        <f>IF(Table2[[#This Row],[Income]]&lt;=30000,"Low",
   IF(Table2[[#This Row],[Income]]&lt;=60000,"Medium",
      IF(Table2[[#This Row],[Income]]&lt;=100000,"High",
         "Premium")))</f>
        <v>Premium</v>
      </c>
    </row>
    <row r="272" spans="1:12" x14ac:dyDescent="0.35">
      <c r="A272" t="s">
        <v>565</v>
      </c>
      <c r="B272" s="2" t="s">
        <v>566</v>
      </c>
      <c r="C272" s="2" t="s">
        <v>17</v>
      </c>
      <c r="D272" s="3">
        <v>58</v>
      </c>
      <c r="E272" s="2" t="s">
        <v>12</v>
      </c>
      <c r="F272" s="2" t="s">
        <v>23</v>
      </c>
      <c r="G272" s="4">
        <v>192760</v>
      </c>
      <c r="H272" s="2" t="s">
        <v>20</v>
      </c>
      <c r="I272" s="1">
        <v>45051</v>
      </c>
      <c r="J272" t="str">
        <f ca="1">DATEDIF(Table2[[#This Row],[Join_Date]], TODAY(), "Y") &amp; "yrs"</f>
        <v>2yrs</v>
      </c>
      <c r="K272" t="str">
        <f>IF(Table2[[#This Row],[Age]]&lt;=19,"Teen",
   IF(Table2[[#This Row],[Age]]&lt;=35,"Young Adult",
      IF(Table2[[#This Row],[Age]]&lt;=55,"Middle-Age",
         "Old")))</f>
        <v>Old</v>
      </c>
      <c r="L272" t="str">
        <f>IF(Table2[[#This Row],[Income]]&lt;=30000,"Low",
   IF(Table2[[#This Row],[Income]]&lt;=60000,"Medium",
      IF(Table2[[#This Row],[Income]]&lt;=100000,"High",
         "Premium")))</f>
        <v>Premium</v>
      </c>
    </row>
    <row r="273" spans="1:12" x14ac:dyDescent="0.35">
      <c r="A273" t="s">
        <v>567</v>
      </c>
      <c r="B273" s="2" t="s">
        <v>568</v>
      </c>
      <c r="C273" s="2" t="s">
        <v>17</v>
      </c>
      <c r="D273" s="3">
        <v>36</v>
      </c>
      <c r="E273" s="2" t="s">
        <v>30</v>
      </c>
      <c r="F273" s="2" t="s">
        <v>19</v>
      </c>
      <c r="G273" s="4">
        <v>84288</v>
      </c>
      <c r="H273" s="2" t="s">
        <v>20</v>
      </c>
      <c r="I273" s="1">
        <v>43890</v>
      </c>
      <c r="J273" t="str">
        <f ca="1">DATEDIF(Table2[[#This Row],[Join_Date]], TODAY(), "Y") &amp; "yrs"</f>
        <v>5yrs</v>
      </c>
      <c r="K273" t="str">
        <f>IF(Table2[[#This Row],[Age]]&lt;=19,"Teen",
   IF(Table2[[#This Row],[Age]]&lt;=35,"Young Adult",
      IF(Table2[[#This Row],[Age]]&lt;=55,"Middle-Age",
         "Old")))</f>
        <v>Middle-Age</v>
      </c>
      <c r="L273" t="str">
        <f>IF(Table2[[#This Row],[Income]]&lt;=30000,"Low",
   IF(Table2[[#This Row],[Income]]&lt;=60000,"Medium",
      IF(Table2[[#This Row],[Income]]&lt;=100000,"High",
         "Premium")))</f>
        <v>High</v>
      </c>
    </row>
    <row r="274" spans="1:12" x14ac:dyDescent="0.35">
      <c r="A274" t="s">
        <v>569</v>
      </c>
      <c r="B274" s="2" t="s">
        <v>570</v>
      </c>
      <c r="C274" s="2" t="s">
        <v>17</v>
      </c>
      <c r="D274" s="3">
        <v>29</v>
      </c>
      <c r="E274" s="2" t="s">
        <v>30</v>
      </c>
      <c r="F274" s="2" t="s">
        <v>42</v>
      </c>
      <c r="G274" s="4">
        <v>71195</v>
      </c>
      <c r="H274" s="2" t="s">
        <v>14</v>
      </c>
      <c r="I274" s="1">
        <v>44008</v>
      </c>
      <c r="J274" t="str">
        <f ca="1">DATEDIF(Table2[[#This Row],[Join_Date]], TODAY(), "Y") &amp; "yrs"</f>
        <v>5yrs</v>
      </c>
      <c r="K274" t="str">
        <f>IF(Table2[[#This Row],[Age]]&lt;=19,"Teen",
   IF(Table2[[#This Row],[Age]]&lt;=35,"Young Adult",
      IF(Table2[[#This Row],[Age]]&lt;=55,"Middle-Age",
         "Old")))</f>
        <v>Young Adult</v>
      </c>
      <c r="L274" t="str">
        <f>IF(Table2[[#This Row],[Income]]&lt;=30000,"Low",
   IF(Table2[[#This Row],[Income]]&lt;=60000,"Medium",
      IF(Table2[[#This Row],[Income]]&lt;=100000,"High",
         "Premium")))</f>
        <v>High</v>
      </c>
    </row>
    <row r="275" spans="1:12" x14ac:dyDescent="0.35">
      <c r="A275" t="s">
        <v>571</v>
      </c>
      <c r="B275" s="2" t="s">
        <v>572</v>
      </c>
      <c r="C275" s="2" t="s">
        <v>17</v>
      </c>
      <c r="D275" s="3">
        <v>26</v>
      </c>
      <c r="E275" s="2" t="s">
        <v>18</v>
      </c>
      <c r="F275" s="2" t="s">
        <v>27</v>
      </c>
      <c r="G275" s="4">
        <v>40581</v>
      </c>
      <c r="H275" s="2" t="s">
        <v>14</v>
      </c>
      <c r="I275" s="1">
        <v>45559</v>
      </c>
      <c r="J275" t="str">
        <f ca="1">DATEDIF(Table2[[#This Row],[Join_Date]], TODAY(), "Y") &amp; "yrs"</f>
        <v>1yrs</v>
      </c>
      <c r="K275" t="str">
        <f>IF(Table2[[#This Row],[Age]]&lt;=19,"Teen",
   IF(Table2[[#This Row],[Age]]&lt;=35,"Young Adult",
      IF(Table2[[#This Row],[Age]]&lt;=55,"Middle-Age",
         "Old")))</f>
        <v>Young Adult</v>
      </c>
      <c r="L275" t="str">
        <f>IF(Table2[[#This Row],[Income]]&lt;=30000,"Low",
   IF(Table2[[#This Row],[Income]]&lt;=60000,"Medium",
      IF(Table2[[#This Row],[Income]]&lt;=100000,"High",
         "Premium")))</f>
        <v>Medium</v>
      </c>
    </row>
    <row r="276" spans="1:12" x14ac:dyDescent="0.35">
      <c r="A276" t="s">
        <v>573</v>
      </c>
      <c r="B276" s="2" t="s">
        <v>574</v>
      </c>
      <c r="C276" s="2" t="s">
        <v>11</v>
      </c>
      <c r="D276" s="3">
        <v>24</v>
      </c>
      <c r="E276" s="2" t="s">
        <v>34</v>
      </c>
      <c r="F276" s="2" t="s">
        <v>23</v>
      </c>
      <c r="G276" s="4">
        <v>50087</v>
      </c>
      <c r="H276" s="2" t="s">
        <v>20</v>
      </c>
      <c r="I276" s="1">
        <v>43775</v>
      </c>
      <c r="J276" t="str">
        <f ca="1">DATEDIF(Table2[[#This Row],[Join_Date]], TODAY(), "Y") &amp; "yrs"</f>
        <v>6yrs</v>
      </c>
      <c r="K276" t="str">
        <f>IF(Table2[[#This Row],[Age]]&lt;=19,"Teen",
   IF(Table2[[#This Row],[Age]]&lt;=35,"Young Adult",
      IF(Table2[[#This Row],[Age]]&lt;=55,"Middle-Age",
         "Old")))</f>
        <v>Young Adult</v>
      </c>
      <c r="L276" t="str">
        <f>IF(Table2[[#This Row],[Income]]&lt;=30000,"Low",
   IF(Table2[[#This Row],[Income]]&lt;=60000,"Medium",
      IF(Table2[[#This Row],[Income]]&lt;=100000,"High",
         "Premium")))</f>
        <v>Medium</v>
      </c>
    </row>
    <row r="277" spans="1:12" x14ac:dyDescent="0.35">
      <c r="A277" t="s">
        <v>575</v>
      </c>
      <c r="B277" s="2" t="s">
        <v>576</v>
      </c>
      <c r="C277" s="2" t="s">
        <v>17</v>
      </c>
      <c r="D277" s="3">
        <v>45</v>
      </c>
      <c r="E277" s="2" t="s">
        <v>34</v>
      </c>
      <c r="F277" s="2" t="s">
        <v>31</v>
      </c>
      <c r="G277" s="4">
        <v>184053</v>
      </c>
      <c r="H277" s="2" t="s">
        <v>14</v>
      </c>
      <c r="I277" s="1">
        <v>44122</v>
      </c>
      <c r="J277" t="str">
        <f ca="1">DATEDIF(Table2[[#This Row],[Join_Date]], TODAY(), "Y") &amp; "yrs"</f>
        <v>5yrs</v>
      </c>
      <c r="K277" t="str">
        <f>IF(Table2[[#This Row],[Age]]&lt;=19,"Teen",
   IF(Table2[[#This Row],[Age]]&lt;=35,"Young Adult",
      IF(Table2[[#This Row],[Age]]&lt;=55,"Middle-Age",
         "Old")))</f>
        <v>Middle-Age</v>
      </c>
      <c r="L277" t="str">
        <f>IF(Table2[[#This Row],[Income]]&lt;=30000,"Low",
   IF(Table2[[#This Row],[Income]]&lt;=60000,"Medium",
      IF(Table2[[#This Row],[Income]]&lt;=100000,"High",
         "Premium")))</f>
        <v>Premium</v>
      </c>
    </row>
    <row r="278" spans="1:12" x14ac:dyDescent="0.35">
      <c r="A278" t="s">
        <v>577</v>
      </c>
      <c r="B278" s="2" t="s">
        <v>578</v>
      </c>
      <c r="C278" s="2" t="s">
        <v>11</v>
      </c>
      <c r="D278" s="3">
        <v>31</v>
      </c>
      <c r="E278" s="2" t="s">
        <v>30</v>
      </c>
      <c r="F278" s="2" t="s">
        <v>27</v>
      </c>
      <c r="G278" s="4">
        <v>89298</v>
      </c>
      <c r="H278" s="2" t="s">
        <v>14</v>
      </c>
      <c r="I278" s="1">
        <v>43083</v>
      </c>
      <c r="J278" t="str">
        <f ca="1">DATEDIF(Table2[[#This Row],[Join_Date]], TODAY(), "Y") &amp; "yrs"</f>
        <v>8yrs</v>
      </c>
      <c r="K278" t="str">
        <f>IF(Table2[[#This Row],[Age]]&lt;=19,"Teen",
   IF(Table2[[#This Row],[Age]]&lt;=35,"Young Adult",
      IF(Table2[[#This Row],[Age]]&lt;=55,"Middle-Age",
         "Old")))</f>
        <v>Young Adult</v>
      </c>
      <c r="L278" t="str">
        <f>IF(Table2[[#This Row],[Income]]&lt;=30000,"Low",
   IF(Table2[[#This Row],[Income]]&lt;=60000,"Medium",
      IF(Table2[[#This Row],[Income]]&lt;=100000,"High",
         "Premium")))</f>
        <v>High</v>
      </c>
    </row>
    <row r="279" spans="1:12" x14ac:dyDescent="0.35">
      <c r="A279" t="s">
        <v>579</v>
      </c>
      <c r="B279" s="2" t="s">
        <v>580</v>
      </c>
      <c r="C279" s="2" t="s">
        <v>17</v>
      </c>
      <c r="D279" s="3">
        <v>48</v>
      </c>
      <c r="E279" s="2" t="s">
        <v>30</v>
      </c>
      <c r="F279" s="2" t="s">
        <v>13</v>
      </c>
      <c r="G279" s="4">
        <v>66167</v>
      </c>
      <c r="H279" s="2" t="s">
        <v>24</v>
      </c>
      <c r="I279" s="1">
        <v>43497</v>
      </c>
      <c r="J279" t="str">
        <f ca="1">DATEDIF(Table2[[#This Row],[Join_Date]], TODAY(), "Y") &amp; "yrs"</f>
        <v>6yrs</v>
      </c>
      <c r="K279" t="str">
        <f>IF(Table2[[#This Row],[Age]]&lt;=19,"Teen",
   IF(Table2[[#This Row],[Age]]&lt;=35,"Young Adult",
      IF(Table2[[#This Row],[Age]]&lt;=55,"Middle-Age",
         "Old")))</f>
        <v>Middle-Age</v>
      </c>
      <c r="L279" t="str">
        <f>IF(Table2[[#This Row],[Income]]&lt;=30000,"Low",
   IF(Table2[[#This Row],[Income]]&lt;=60000,"Medium",
      IF(Table2[[#This Row],[Income]]&lt;=100000,"High",
         "Premium")))</f>
        <v>High</v>
      </c>
    </row>
    <row r="280" spans="1:12" x14ac:dyDescent="0.35">
      <c r="A280" t="s">
        <v>581</v>
      </c>
      <c r="B280" s="2" t="s">
        <v>582</v>
      </c>
      <c r="C280" s="2" t="s">
        <v>11</v>
      </c>
      <c r="D280" s="3">
        <v>69</v>
      </c>
      <c r="E280" s="2" t="s">
        <v>18</v>
      </c>
      <c r="F280" s="2" t="s">
        <v>37</v>
      </c>
      <c r="G280" s="4">
        <v>194480</v>
      </c>
      <c r="H280" s="2" t="s">
        <v>14</v>
      </c>
      <c r="I280" s="1">
        <v>43316</v>
      </c>
      <c r="J280" t="str">
        <f ca="1">DATEDIF(Table2[[#This Row],[Join_Date]], TODAY(), "Y") &amp; "yrs"</f>
        <v>7yrs</v>
      </c>
      <c r="K280" t="str">
        <f>IF(Table2[[#This Row],[Age]]&lt;=19,"Teen",
   IF(Table2[[#This Row],[Age]]&lt;=35,"Young Adult",
      IF(Table2[[#This Row],[Age]]&lt;=55,"Middle-Age",
         "Old")))</f>
        <v>Old</v>
      </c>
      <c r="L280" t="str">
        <f>IF(Table2[[#This Row],[Income]]&lt;=30000,"Low",
   IF(Table2[[#This Row],[Income]]&lt;=60000,"Medium",
      IF(Table2[[#This Row],[Income]]&lt;=100000,"High",
         "Premium")))</f>
        <v>Premium</v>
      </c>
    </row>
    <row r="281" spans="1:12" x14ac:dyDescent="0.35">
      <c r="A281" t="s">
        <v>583</v>
      </c>
      <c r="B281" s="2" t="s">
        <v>584</v>
      </c>
      <c r="C281" s="2" t="s">
        <v>17</v>
      </c>
      <c r="D281" s="3">
        <v>36</v>
      </c>
      <c r="E281" s="2" t="s">
        <v>30</v>
      </c>
      <c r="F281" s="2" t="s">
        <v>42</v>
      </c>
      <c r="G281" s="4">
        <v>59499</v>
      </c>
      <c r="H281" s="2" t="s">
        <v>20</v>
      </c>
      <c r="I281" s="1">
        <v>42882</v>
      </c>
      <c r="J281" t="str">
        <f ca="1">DATEDIF(Table2[[#This Row],[Join_Date]], TODAY(), "Y") &amp; "yrs"</f>
        <v>8yrs</v>
      </c>
      <c r="K281" t="str">
        <f>IF(Table2[[#This Row],[Age]]&lt;=19,"Teen",
   IF(Table2[[#This Row],[Age]]&lt;=35,"Young Adult",
      IF(Table2[[#This Row],[Age]]&lt;=55,"Middle-Age",
         "Old")))</f>
        <v>Middle-Age</v>
      </c>
      <c r="L281" t="str">
        <f>IF(Table2[[#This Row],[Income]]&lt;=30000,"Low",
   IF(Table2[[#This Row],[Income]]&lt;=60000,"Medium",
      IF(Table2[[#This Row],[Income]]&lt;=100000,"High",
         "Premium")))</f>
        <v>Medium</v>
      </c>
    </row>
    <row r="282" spans="1:12" x14ac:dyDescent="0.35">
      <c r="A282" t="s">
        <v>585</v>
      </c>
      <c r="B282" s="2" t="s">
        <v>586</v>
      </c>
      <c r="C282" s="2" t="s">
        <v>17</v>
      </c>
      <c r="D282" s="3">
        <v>64</v>
      </c>
      <c r="E282" s="2" t="s">
        <v>18</v>
      </c>
      <c r="F282" s="2" t="s">
        <v>31</v>
      </c>
      <c r="G282" s="4">
        <v>145816</v>
      </c>
      <c r="H282" s="2" t="s">
        <v>24</v>
      </c>
      <c r="I282" s="1">
        <v>44500</v>
      </c>
      <c r="J282" t="str">
        <f ca="1">DATEDIF(Table2[[#This Row],[Join_Date]], TODAY(), "Y") &amp; "yrs"</f>
        <v>4yrs</v>
      </c>
      <c r="K282" t="str">
        <f>IF(Table2[[#This Row],[Age]]&lt;=19,"Teen",
   IF(Table2[[#This Row],[Age]]&lt;=35,"Young Adult",
      IF(Table2[[#This Row],[Age]]&lt;=55,"Middle-Age",
         "Old")))</f>
        <v>Old</v>
      </c>
      <c r="L282" t="str">
        <f>IF(Table2[[#This Row],[Income]]&lt;=30000,"Low",
   IF(Table2[[#This Row],[Income]]&lt;=60000,"Medium",
      IF(Table2[[#This Row],[Income]]&lt;=100000,"High",
         "Premium")))</f>
        <v>Premium</v>
      </c>
    </row>
    <row r="283" spans="1:12" x14ac:dyDescent="0.35">
      <c r="A283" t="s">
        <v>587</v>
      </c>
      <c r="B283" s="2" t="s">
        <v>588</v>
      </c>
      <c r="C283" s="2" t="s">
        <v>17</v>
      </c>
      <c r="D283" s="3">
        <v>33</v>
      </c>
      <c r="E283" s="2" t="s">
        <v>34</v>
      </c>
      <c r="F283" s="2" t="s">
        <v>13</v>
      </c>
      <c r="G283" s="4">
        <v>189631</v>
      </c>
      <c r="H283" s="2" t="s">
        <v>14</v>
      </c>
      <c r="I283" s="1">
        <v>42880</v>
      </c>
      <c r="J283" t="str">
        <f ca="1">DATEDIF(Table2[[#This Row],[Join_Date]], TODAY(), "Y") &amp; "yrs"</f>
        <v>8yrs</v>
      </c>
      <c r="K283" t="str">
        <f>IF(Table2[[#This Row],[Age]]&lt;=19,"Teen",
   IF(Table2[[#This Row],[Age]]&lt;=35,"Young Adult",
      IF(Table2[[#This Row],[Age]]&lt;=55,"Middle-Age",
         "Old")))</f>
        <v>Young Adult</v>
      </c>
      <c r="L283" t="str">
        <f>IF(Table2[[#This Row],[Income]]&lt;=30000,"Low",
   IF(Table2[[#This Row],[Income]]&lt;=60000,"Medium",
      IF(Table2[[#This Row],[Income]]&lt;=100000,"High",
         "Premium")))</f>
        <v>Premium</v>
      </c>
    </row>
    <row r="284" spans="1:12" x14ac:dyDescent="0.35">
      <c r="A284" t="s">
        <v>589</v>
      </c>
      <c r="B284" s="2" t="s">
        <v>590</v>
      </c>
      <c r="C284" s="2" t="s">
        <v>17</v>
      </c>
      <c r="D284" s="3">
        <v>70</v>
      </c>
      <c r="E284" s="2" t="s">
        <v>34</v>
      </c>
      <c r="F284" s="2" t="s">
        <v>23</v>
      </c>
      <c r="G284" s="4">
        <v>116347</v>
      </c>
      <c r="H284" s="2" t="s">
        <v>14</v>
      </c>
      <c r="I284" s="1">
        <v>42754</v>
      </c>
      <c r="J284" t="str">
        <f ca="1">DATEDIF(Table2[[#This Row],[Join_Date]], TODAY(), "Y") &amp; "yrs"</f>
        <v>9yrs</v>
      </c>
      <c r="K284" t="str">
        <f>IF(Table2[[#This Row],[Age]]&lt;=19,"Teen",
   IF(Table2[[#This Row],[Age]]&lt;=35,"Young Adult",
      IF(Table2[[#This Row],[Age]]&lt;=55,"Middle-Age",
         "Old")))</f>
        <v>Old</v>
      </c>
      <c r="L284" t="str">
        <f>IF(Table2[[#This Row],[Income]]&lt;=30000,"Low",
   IF(Table2[[#This Row],[Income]]&lt;=60000,"Medium",
      IF(Table2[[#This Row],[Income]]&lt;=100000,"High",
         "Premium")))</f>
        <v>Premium</v>
      </c>
    </row>
    <row r="285" spans="1:12" x14ac:dyDescent="0.35">
      <c r="A285" t="s">
        <v>591</v>
      </c>
      <c r="B285" s="2" t="s">
        <v>592</v>
      </c>
      <c r="C285" s="2" t="s">
        <v>11</v>
      </c>
      <c r="D285" s="3">
        <v>22</v>
      </c>
      <c r="E285" s="2" t="s">
        <v>12</v>
      </c>
      <c r="F285" s="2" t="s">
        <v>19</v>
      </c>
      <c r="G285" s="4">
        <v>68787</v>
      </c>
      <c r="H285" s="2" t="s">
        <v>14</v>
      </c>
      <c r="I285" s="1">
        <v>42305</v>
      </c>
      <c r="J285" t="str">
        <f ca="1">DATEDIF(Table2[[#This Row],[Join_Date]], TODAY(), "Y") &amp; "yrs"</f>
        <v>10yrs</v>
      </c>
      <c r="K285" t="str">
        <f>IF(Table2[[#This Row],[Age]]&lt;=19,"Teen",
   IF(Table2[[#This Row],[Age]]&lt;=35,"Young Adult",
      IF(Table2[[#This Row],[Age]]&lt;=55,"Middle-Age",
         "Old")))</f>
        <v>Young Adult</v>
      </c>
      <c r="L285" t="str">
        <f>IF(Table2[[#This Row],[Income]]&lt;=30000,"Low",
   IF(Table2[[#This Row],[Income]]&lt;=60000,"Medium",
      IF(Table2[[#This Row],[Income]]&lt;=100000,"High",
         "Premium")))</f>
        <v>High</v>
      </c>
    </row>
    <row r="286" spans="1:12" x14ac:dyDescent="0.35">
      <c r="A286" t="s">
        <v>593</v>
      </c>
      <c r="B286" s="2" t="s">
        <v>594</v>
      </c>
      <c r="C286" s="2" t="s">
        <v>17</v>
      </c>
      <c r="D286" s="3">
        <v>52</v>
      </c>
      <c r="E286" s="2" t="s">
        <v>34</v>
      </c>
      <c r="F286" s="2" t="s">
        <v>27</v>
      </c>
      <c r="G286" s="4">
        <v>55488</v>
      </c>
      <c r="H286" s="2" t="s">
        <v>14</v>
      </c>
      <c r="I286" s="1">
        <v>44249</v>
      </c>
      <c r="J286" t="str">
        <f ca="1">DATEDIF(Table2[[#This Row],[Join_Date]], TODAY(), "Y") &amp; "yrs"</f>
        <v>4yrs</v>
      </c>
      <c r="K286" t="str">
        <f>IF(Table2[[#This Row],[Age]]&lt;=19,"Teen",
   IF(Table2[[#This Row],[Age]]&lt;=35,"Young Adult",
      IF(Table2[[#This Row],[Age]]&lt;=55,"Middle-Age",
         "Old")))</f>
        <v>Middle-Age</v>
      </c>
      <c r="L286" t="str">
        <f>IF(Table2[[#This Row],[Income]]&lt;=30000,"Low",
   IF(Table2[[#This Row],[Income]]&lt;=60000,"Medium",
      IF(Table2[[#This Row],[Income]]&lt;=100000,"High",
         "Premium")))</f>
        <v>Medium</v>
      </c>
    </row>
    <row r="287" spans="1:12" x14ac:dyDescent="0.35">
      <c r="A287" t="s">
        <v>595</v>
      </c>
      <c r="B287" s="2" t="s">
        <v>596</v>
      </c>
      <c r="C287" s="2" t="s">
        <v>11</v>
      </c>
      <c r="D287" s="3">
        <v>29</v>
      </c>
      <c r="E287" s="2" t="s">
        <v>30</v>
      </c>
      <c r="F287" s="2" t="s">
        <v>37</v>
      </c>
      <c r="G287" s="4">
        <v>94441</v>
      </c>
      <c r="H287" s="2" t="s">
        <v>14</v>
      </c>
      <c r="I287" s="1">
        <v>43856</v>
      </c>
      <c r="J287" t="str">
        <f ca="1">DATEDIF(Table2[[#This Row],[Join_Date]], TODAY(), "Y") &amp; "yrs"</f>
        <v>5yrs</v>
      </c>
      <c r="K287" t="str">
        <f>IF(Table2[[#This Row],[Age]]&lt;=19,"Teen",
   IF(Table2[[#This Row],[Age]]&lt;=35,"Young Adult",
      IF(Table2[[#This Row],[Age]]&lt;=55,"Middle-Age",
         "Old")))</f>
        <v>Young Adult</v>
      </c>
      <c r="L287" t="str">
        <f>IF(Table2[[#This Row],[Income]]&lt;=30000,"Low",
   IF(Table2[[#This Row],[Income]]&lt;=60000,"Medium",
      IF(Table2[[#This Row],[Income]]&lt;=100000,"High",
         "Premium")))</f>
        <v>High</v>
      </c>
    </row>
    <row r="288" spans="1:12" x14ac:dyDescent="0.35">
      <c r="A288" t="s">
        <v>597</v>
      </c>
      <c r="B288" s="2" t="s">
        <v>598</v>
      </c>
      <c r="C288" s="2" t="s">
        <v>11</v>
      </c>
      <c r="D288" s="3">
        <v>42</v>
      </c>
      <c r="E288" s="2" t="s">
        <v>34</v>
      </c>
      <c r="F288" s="2" t="s">
        <v>27</v>
      </c>
      <c r="G288" s="4">
        <v>42431</v>
      </c>
      <c r="H288" s="2" t="s">
        <v>20</v>
      </c>
      <c r="I288" s="1">
        <v>45769</v>
      </c>
      <c r="J288" t="str">
        <f ca="1">DATEDIF(Table2[[#This Row],[Join_Date]], TODAY(), "Y") &amp; "yrs"</f>
        <v>0yrs</v>
      </c>
      <c r="K288" t="str">
        <f>IF(Table2[[#This Row],[Age]]&lt;=19,"Teen",
   IF(Table2[[#This Row],[Age]]&lt;=35,"Young Adult",
      IF(Table2[[#This Row],[Age]]&lt;=55,"Middle-Age",
         "Old")))</f>
        <v>Middle-Age</v>
      </c>
      <c r="L288" t="str">
        <f>IF(Table2[[#This Row],[Income]]&lt;=30000,"Low",
   IF(Table2[[#This Row],[Income]]&lt;=60000,"Medium",
      IF(Table2[[#This Row],[Income]]&lt;=100000,"High",
         "Premium")))</f>
        <v>Medium</v>
      </c>
    </row>
    <row r="289" spans="1:12" x14ac:dyDescent="0.35">
      <c r="A289" t="s">
        <v>599</v>
      </c>
      <c r="B289" s="2" t="s">
        <v>600</v>
      </c>
      <c r="C289" s="2" t="s">
        <v>11</v>
      </c>
      <c r="D289" s="3">
        <v>69</v>
      </c>
      <c r="E289" s="2" t="s">
        <v>18</v>
      </c>
      <c r="F289" s="2" t="s">
        <v>42</v>
      </c>
      <c r="G289" s="4">
        <v>81681</v>
      </c>
      <c r="H289" s="2" t="s">
        <v>14</v>
      </c>
      <c r="I289" s="1">
        <v>44856</v>
      </c>
      <c r="J289" t="str">
        <f ca="1">DATEDIF(Table2[[#This Row],[Join_Date]], TODAY(), "Y") &amp; "yrs"</f>
        <v>3yrs</v>
      </c>
      <c r="K289" t="str">
        <f>IF(Table2[[#This Row],[Age]]&lt;=19,"Teen",
   IF(Table2[[#This Row],[Age]]&lt;=35,"Young Adult",
      IF(Table2[[#This Row],[Age]]&lt;=55,"Middle-Age",
         "Old")))</f>
        <v>Old</v>
      </c>
      <c r="L289" t="str">
        <f>IF(Table2[[#This Row],[Income]]&lt;=30000,"Low",
   IF(Table2[[#This Row],[Income]]&lt;=60000,"Medium",
      IF(Table2[[#This Row],[Income]]&lt;=100000,"High",
         "Premium")))</f>
        <v>High</v>
      </c>
    </row>
    <row r="290" spans="1:12" x14ac:dyDescent="0.35">
      <c r="A290" t="s">
        <v>601</v>
      </c>
      <c r="B290" s="2" t="s">
        <v>602</v>
      </c>
      <c r="C290" s="2" t="s">
        <v>11</v>
      </c>
      <c r="D290" s="3">
        <v>38</v>
      </c>
      <c r="E290" s="2" t="s">
        <v>34</v>
      </c>
      <c r="F290" s="2" t="s">
        <v>23</v>
      </c>
      <c r="G290" s="4">
        <v>142720</v>
      </c>
      <c r="H290" s="2" t="s">
        <v>14</v>
      </c>
      <c r="I290" s="1">
        <v>44265</v>
      </c>
      <c r="J290" t="str">
        <f ca="1">DATEDIF(Table2[[#This Row],[Join_Date]], TODAY(), "Y") &amp; "yrs"</f>
        <v>4yrs</v>
      </c>
      <c r="K290" t="str">
        <f>IF(Table2[[#This Row],[Age]]&lt;=19,"Teen",
   IF(Table2[[#This Row],[Age]]&lt;=35,"Young Adult",
      IF(Table2[[#This Row],[Age]]&lt;=55,"Middle-Age",
         "Old")))</f>
        <v>Middle-Age</v>
      </c>
      <c r="L290" t="str">
        <f>IF(Table2[[#This Row],[Income]]&lt;=30000,"Low",
   IF(Table2[[#This Row],[Income]]&lt;=60000,"Medium",
      IF(Table2[[#This Row],[Income]]&lt;=100000,"High",
         "Premium")))</f>
        <v>Premium</v>
      </c>
    </row>
    <row r="291" spans="1:12" x14ac:dyDescent="0.35">
      <c r="A291" t="s">
        <v>603</v>
      </c>
      <c r="B291" s="2" t="s">
        <v>604</v>
      </c>
      <c r="C291" s="2" t="s">
        <v>17</v>
      </c>
      <c r="D291" s="3">
        <v>53</v>
      </c>
      <c r="E291" s="2" t="s">
        <v>12</v>
      </c>
      <c r="F291" s="2" t="s">
        <v>27</v>
      </c>
      <c r="G291" s="4">
        <v>69153</v>
      </c>
      <c r="H291" s="2" t="s">
        <v>24</v>
      </c>
      <c r="I291" s="1">
        <v>42617</v>
      </c>
      <c r="J291" t="str">
        <f ca="1">DATEDIF(Table2[[#This Row],[Join_Date]], TODAY(), "Y") &amp; "yrs"</f>
        <v>9yrs</v>
      </c>
      <c r="K291" t="str">
        <f>IF(Table2[[#This Row],[Age]]&lt;=19,"Teen",
   IF(Table2[[#This Row],[Age]]&lt;=35,"Young Adult",
      IF(Table2[[#This Row],[Age]]&lt;=55,"Middle-Age",
         "Old")))</f>
        <v>Middle-Age</v>
      </c>
      <c r="L291" t="str">
        <f>IF(Table2[[#This Row],[Income]]&lt;=30000,"Low",
   IF(Table2[[#This Row],[Income]]&lt;=60000,"Medium",
      IF(Table2[[#This Row],[Income]]&lt;=100000,"High",
         "Premium")))</f>
        <v>High</v>
      </c>
    </row>
    <row r="292" spans="1:12" x14ac:dyDescent="0.35">
      <c r="A292" t="s">
        <v>605</v>
      </c>
      <c r="B292" s="2" t="s">
        <v>606</v>
      </c>
      <c r="C292" s="2" t="s">
        <v>11</v>
      </c>
      <c r="D292" s="3">
        <v>70</v>
      </c>
      <c r="E292" s="2" t="s">
        <v>34</v>
      </c>
      <c r="F292" s="2" t="s">
        <v>37</v>
      </c>
      <c r="G292" s="4">
        <v>26368</v>
      </c>
      <c r="H292" s="2" t="s">
        <v>20</v>
      </c>
      <c r="I292" s="1">
        <v>43499</v>
      </c>
      <c r="J292" t="str">
        <f ca="1">DATEDIF(Table2[[#This Row],[Join_Date]], TODAY(), "Y") &amp; "yrs"</f>
        <v>6yrs</v>
      </c>
      <c r="K292" t="str">
        <f>IF(Table2[[#This Row],[Age]]&lt;=19,"Teen",
   IF(Table2[[#This Row],[Age]]&lt;=35,"Young Adult",
      IF(Table2[[#This Row],[Age]]&lt;=55,"Middle-Age",
         "Old")))</f>
        <v>Old</v>
      </c>
      <c r="L292" t="str">
        <f>IF(Table2[[#This Row],[Income]]&lt;=30000,"Low",
   IF(Table2[[#This Row],[Income]]&lt;=60000,"Medium",
      IF(Table2[[#This Row],[Income]]&lt;=100000,"High",
         "Premium")))</f>
        <v>Low</v>
      </c>
    </row>
    <row r="293" spans="1:12" x14ac:dyDescent="0.35">
      <c r="A293" t="s">
        <v>607</v>
      </c>
      <c r="B293" s="2" t="s">
        <v>608</v>
      </c>
      <c r="C293" s="2" t="s">
        <v>11</v>
      </c>
      <c r="D293" s="3">
        <v>40</v>
      </c>
      <c r="E293" s="2" t="s">
        <v>18</v>
      </c>
      <c r="F293" s="2" t="s">
        <v>23</v>
      </c>
      <c r="G293" s="4">
        <v>178496</v>
      </c>
      <c r="H293" s="2" t="s">
        <v>20</v>
      </c>
      <c r="I293" s="1">
        <v>44893</v>
      </c>
      <c r="J293" t="str">
        <f ca="1">DATEDIF(Table2[[#This Row],[Join_Date]], TODAY(), "Y") &amp; "yrs"</f>
        <v>3yrs</v>
      </c>
      <c r="K293" t="str">
        <f>IF(Table2[[#This Row],[Age]]&lt;=19,"Teen",
   IF(Table2[[#This Row],[Age]]&lt;=35,"Young Adult",
      IF(Table2[[#This Row],[Age]]&lt;=55,"Middle-Age",
         "Old")))</f>
        <v>Middle-Age</v>
      </c>
      <c r="L293" t="str">
        <f>IF(Table2[[#This Row],[Income]]&lt;=30000,"Low",
   IF(Table2[[#This Row],[Income]]&lt;=60000,"Medium",
      IF(Table2[[#This Row],[Income]]&lt;=100000,"High",
         "Premium")))</f>
        <v>Premium</v>
      </c>
    </row>
    <row r="294" spans="1:12" x14ac:dyDescent="0.35">
      <c r="A294" t="s">
        <v>609</v>
      </c>
      <c r="B294" s="2" t="s">
        <v>610</v>
      </c>
      <c r="C294" s="2" t="s">
        <v>11</v>
      </c>
      <c r="D294" s="3">
        <v>33</v>
      </c>
      <c r="E294" s="2" t="s">
        <v>18</v>
      </c>
      <c r="F294" s="2" t="s">
        <v>27</v>
      </c>
      <c r="G294" s="4">
        <v>132360</v>
      </c>
      <c r="H294" s="2" t="s">
        <v>14</v>
      </c>
      <c r="I294" s="1">
        <v>42674</v>
      </c>
      <c r="J294" t="str">
        <f ca="1">DATEDIF(Table2[[#This Row],[Join_Date]], TODAY(), "Y") &amp; "yrs"</f>
        <v>9yrs</v>
      </c>
      <c r="K294" t="str">
        <f>IF(Table2[[#This Row],[Age]]&lt;=19,"Teen",
   IF(Table2[[#This Row],[Age]]&lt;=35,"Young Adult",
      IF(Table2[[#This Row],[Age]]&lt;=55,"Middle-Age",
         "Old")))</f>
        <v>Young Adult</v>
      </c>
      <c r="L294" t="str">
        <f>IF(Table2[[#This Row],[Income]]&lt;=30000,"Low",
   IF(Table2[[#This Row],[Income]]&lt;=60000,"Medium",
      IF(Table2[[#This Row],[Income]]&lt;=100000,"High",
         "Premium")))</f>
        <v>Premium</v>
      </c>
    </row>
    <row r="295" spans="1:12" x14ac:dyDescent="0.35">
      <c r="A295" t="s">
        <v>611</v>
      </c>
      <c r="B295" s="2" t="s">
        <v>612</v>
      </c>
      <c r="C295" s="2" t="s">
        <v>17</v>
      </c>
      <c r="D295" s="3">
        <v>74</v>
      </c>
      <c r="E295" s="2" t="s">
        <v>30</v>
      </c>
      <c r="F295" s="2" t="s">
        <v>19</v>
      </c>
      <c r="G295" s="4">
        <v>196076</v>
      </c>
      <c r="H295" s="2" t="s">
        <v>20</v>
      </c>
      <c r="I295" s="1">
        <v>43335</v>
      </c>
      <c r="J295" t="str">
        <f ca="1">DATEDIF(Table2[[#This Row],[Join_Date]], TODAY(), "Y") &amp; "yrs"</f>
        <v>7yrs</v>
      </c>
      <c r="K295" t="str">
        <f>IF(Table2[[#This Row],[Age]]&lt;=19,"Teen",
   IF(Table2[[#This Row],[Age]]&lt;=35,"Young Adult",
      IF(Table2[[#This Row],[Age]]&lt;=55,"Middle-Age",
         "Old")))</f>
        <v>Old</v>
      </c>
      <c r="L295" t="str">
        <f>IF(Table2[[#This Row],[Income]]&lt;=30000,"Low",
   IF(Table2[[#This Row],[Income]]&lt;=60000,"Medium",
      IF(Table2[[#This Row],[Income]]&lt;=100000,"High",
         "Premium")))</f>
        <v>Premium</v>
      </c>
    </row>
    <row r="296" spans="1:12" x14ac:dyDescent="0.35">
      <c r="A296" t="s">
        <v>613</v>
      </c>
      <c r="B296" s="2" t="s">
        <v>614</v>
      </c>
      <c r="C296" s="2" t="s">
        <v>17</v>
      </c>
      <c r="D296" s="3">
        <v>56</v>
      </c>
      <c r="E296" s="2" t="s">
        <v>34</v>
      </c>
      <c r="F296" s="2" t="s">
        <v>31</v>
      </c>
      <c r="G296" s="4">
        <v>132755</v>
      </c>
      <c r="H296" s="2" t="s">
        <v>14</v>
      </c>
      <c r="I296" s="1">
        <v>42510</v>
      </c>
      <c r="J296" t="str">
        <f ca="1">DATEDIF(Table2[[#This Row],[Join_Date]], TODAY(), "Y") &amp; "yrs"</f>
        <v>9yrs</v>
      </c>
      <c r="K296" t="str">
        <f>IF(Table2[[#This Row],[Age]]&lt;=19,"Teen",
   IF(Table2[[#This Row],[Age]]&lt;=35,"Young Adult",
      IF(Table2[[#This Row],[Age]]&lt;=55,"Middle-Age",
         "Old")))</f>
        <v>Old</v>
      </c>
      <c r="L296" t="str">
        <f>IF(Table2[[#This Row],[Income]]&lt;=30000,"Low",
   IF(Table2[[#This Row],[Income]]&lt;=60000,"Medium",
      IF(Table2[[#This Row],[Income]]&lt;=100000,"High",
         "Premium")))</f>
        <v>Premium</v>
      </c>
    </row>
    <row r="297" spans="1:12" x14ac:dyDescent="0.35">
      <c r="A297" t="s">
        <v>615</v>
      </c>
      <c r="B297" s="2" t="s">
        <v>616</v>
      </c>
      <c r="C297" s="2" t="s">
        <v>17</v>
      </c>
      <c r="D297" s="3">
        <v>62</v>
      </c>
      <c r="E297" s="2" t="s">
        <v>18</v>
      </c>
      <c r="F297" s="2" t="s">
        <v>23</v>
      </c>
      <c r="G297" s="4">
        <v>76985</v>
      </c>
      <c r="H297" s="2" t="s">
        <v>14</v>
      </c>
      <c r="I297" s="1">
        <v>44646</v>
      </c>
      <c r="J297" t="str">
        <f ca="1">DATEDIF(Table2[[#This Row],[Join_Date]], TODAY(), "Y") &amp; "yrs"</f>
        <v>3yrs</v>
      </c>
      <c r="K297" t="str">
        <f>IF(Table2[[#This Row],[Age]]&lt;=19,"Teen",
   IF(Table2[[#This Row],[Age]]&lt;=35,"Young Adult",
      IF(Table2[[#This Row],[Age]]&lt;=55,"Middle-Age",
         "Old")))</f>
        <v>Old</v>
      </c>
      <c r="L297" t="str">
        <f>IF(Table2[[#This Row],[Income]]&lt;=30000,"Low",
   IF(Table2[[#This Row],[Income]]&lt;=60000,"Medium",
      IF(Table2[[#This Row],[Income]]&lt;=100000,"High",
         "Premium")))</f>
        <v>High</v>
      </c>
    </row>
    <row r="298" spans="1:12" x14ac:dyDescent="0.35">
      <c r="A298" t="s">
        <v>617</v>
      </c>
      <c r="B298" s="2" t="s">
        <v>618</v>
      </c>
      <c r="C298" s="2" t="s">
        <v>17</v>
      </c>
      <c r="D298" s="3">
        <v>70</v>
      </c>
      <c r="E298" s="2" t="s">
        <v>12</v>
      </c>
      <c r="F298" s="2" t="s">
        <v>31</v>
      </c>
      <c r="G298" s="4">
        <v>70069</v>
      </c>
      <c r="H298" s="2" t="s">
        <v>14</v>
      </c>
      <c r="I298" s="1">
        <v>44862</v>
      </c>
      <c r="J298" t="str">
        <f ca="1">DATEDIF(Table2[[#This Row],[Join_Date]], TODAY(), "Y") &amp; "yrs"</f>
        <v>3yrs</v>
      </c>
      <c r="K298" t="str">
        <f>IF(Table2[[#This Row],[Age]]&lt;=19,"Teen",
   IF(Table2[[#This Row],[Age]]&lt;=35,"Young Adult",
      IF(Table2[[#This Row],[Age]]&lt;=55,"Middle-Age",
         "Old")))</f>
        <v>Old</v>
      </c>
      <c r="L298" t="str">
        <f>IF(Table2[[#This Row],[Income]]&lt;=30000,"Low",
   IF(Table2[[#This Row],[Income]]&lt;=60000,"Medium",
      IF(Table2[[#This Row],[Income]]&lt;=100000,"High",
         "Premium")))</f>
        <v>High</v>
      </c>
    </row>
    <row r="299" spans="1:12" x14ac:dyDescent="0.35">
      <c r="A299" t="s">
        <v>619</v>
      </c>
      <c r="B299" s="2" t="s">
        <v>620</v>
      </c>
      <c r="C299" s="2" t="s">
        <v>11</v>
      </c>
      <c r="D299" s="3">
        <v>59</v>
      </c>
      <c r="E299" s="2" t="s">
        <v>30</v>
      </c>
      <c r="F299" s="2" t="s">
        <v>23</v>
      </c>
      <c r="G299" s="4">
        <v>72326</v>
      </c>
      <c r="H299" s="2" t="s">
        <v>20</v>
      </c>
      <c r="I299" s="1">
        <v>42922</v>
      </c>
      <c r="J299" t="str">
        <f ca="1">DATEDIF(Table2[[#This Row],[Join_Date]], TODAY(), "Y") &amp; "yrs"</f>
        <v>8yrs</v>
      </c>
      <c r="K299" t="str">
        <f>IF(Table2[[#This Row],[Age]]&lt;=19,"Teen",
   IF(Table2[[#This Row],[Age]]&lt;=35,"Young Adult",
      IF(Table2[[#This Row],[Age]]&lt;=55,"Middle-Age",
         "Old")))</f>
        <v>Old</v>
      </c>
      <c r="L299" t="str">
        <f>IF(Table2[[#This Row],[Income]]&lt;=30000,"Low",
   IF(Table2[[#This Row],[Income]]&lt;=60000,"Medium",
      IF(Table2[[#This Row],[Income]]&lt;=100000,"High",
         "Premium")))</f>
        <v>High</v>
      </c>
    </row>
    <row r="300" spans="1:12" x14ac:dyDescent="0.35">
      <c r="A300" t="s">
        <v>621</v>
      </c>
      <c r="B300" s="2" t="s">
        <v>622</v>
      </c>
      <c r="C300" s="2" t="s">
        <v>11</v>
      </c>
      <c r="D300" s="3">
        <v>56</v>
      </c>
      <c r="E300" s="2" t="s">
        <v>12</v>
      </c>
      <c r="F300" s="2" t="s">
        <v>19</v>
      </c>
      <c r="G300" s="4">
        <v>128737</v>
      </c>
      <c r="H300" s="2" t="s">
        <v>14</v>
      </c>
      <c r="I300" s="1">
        <v>45200</v>
      </c>
      <c r="J300" t="str">
        <f ca="1">DATEDIF(Table2[[#This Row],[Join_Date]], TODAY(), "Y") &amp; "yrs"</f>
        <v>2yrs</v>
      </c>
      <c r="K300" t="str">
        <f>IF(Table2[[#This Row],[Age]]&lt;=19,"Teen",
   IF(Table2[[#This Row],[Age]]&lt;=35,"Young Adult",
      IF(Table2[[#This Row],[Age]]&lt;=55,"Middle-Age",
         "Old")))</f>
        <v>Old</v>
      </c>
      <c r="L300" t="str">
        <f>IF(Table2[[#This Row],[Income]]&lt;=30000,"Low",
   IF(Table2[[#This Row],[Income]]&lt;=60000,"Medium",
      IF(Table2[[#This Row],[Income]]&lt;=100000,"High",
         "Premium")))</f>
        <v>Premium</v>
      </c>
    </row>
    <row r="301" spans="1:12" x14ac:dyDescent="0.35">
      <c r="A301" t="s">
        <v>623</v>
      </c>
      <c r="B301" s="2" t="s">
        <v>624</v>
      </c>
      <c r="C301" s="2" t="s">
        <v>17</v>
      </c>
      <c r="D301" s="3">
        <v>31</v>
      </c>
      <c r="E301" s="2" t="s">
        <v>34</v>
      </c>
      <c r="F301" s="2" t="s">
        <v>31</v>
      </c>
      <c r="G301" s="4">
        <v>174470</v>
      </c>
      <c r="H301" s="2" t="s">
        <v>14</v>
      </c>
      <c r="I301" s="1">
        <v>45402</v>
      </c>
      <c r="J301" t="str">
        <f ca="1">DATEDIF(Table2[[#This Row],[Join_Date]], TODAY(), "Y") &amp; "yrs"</f>
        <v>1yrs</v>
      </c>
      <c r="K301" t="str">
        <f>IF(Table2[[#This Row],[Age]]&lt;=19,"Teen",
   IF(Table2[[#This Row],[Age]]&lt;=35,"Young Adult",
      IF(Table2[[#This Row],[Age]]&lt;=55,"Middle-Age",
         "Old")))</f>
        <v>Young Adult</v>
      </c>
      <c r="L301" t="str">
        <f>IF(Table2[[#This Row],[Income]]&lt;=30000,"Low",
   IF(Table2[[#This Row],[Income]]&lt;=60000,"Medium",
      IF(Table2[[#This Row],[Income]]&lt;=100000,"High",
         "Premium")))</f>
        <v>Premium</v>
      </c>
    </row>
    <row r="302" spans="1:12" x14ac:dyDescent="0.35">
      <c r="A302" t="s">
        <v>625</v>
      </c>
      <c r="B302" s="2" t="s">
        <v>626</v>
      </c>
      <c r="C302" s="2" t="s">
        <v>11</v>
      </c>
      <c r="D302" s="3">
        <v>48</v>
      </c>
      <c r="E302" s="2" t="s">
        <v>34</v>
      </c>
      <c r="F302" s="2" t="s">
        <v>13</v>
      </c>
      <c r="G302" s="4">
        <v>70861</v>
      </c>
      <c r="H302" s="2" t="s">
        <v>14</v>
      </c>
      <c r="I302" s="1">
        <v>45334</v>
      </c>
      <c r="J302" t="str">
        <f ca="1">DATEDIF(Table2[[#This Row],[Join_Date]], TODAY(), "Y") &amp; "yrs"</f>
        <v>1yrs</v>
      </c>
      <c r="K302" t="str">
        <f>IF(Table2[[#This Row],[Age]]&lt;=19,"Teen",
   IF(Table2[[#This Row],[Age]]&lt;=35,"Young Adult",
      IF(Table2[[#This Row],[Age]]&lt;=55,"Middle-Age",
         "Old")))</f>
        <v>Middle-Age</v>
      </c>
      <c r="L302" t="str">
        <f>IF(Table2[[#This Row],[Income]]&lt;=30000,"Low",
   IF(Table2[[#This Row],[Income]]&lt;=60000,"Medium",
      IF(Table2[[#This Row],[Income]]&lt;=100000,"High",
         "Premium")))</f>
        <v>High</v>
      </c>
    </row>
    <row r="303" spans="1:12" x14ac:dyDescent="0.35">
      <c r="A303" t="s">
        <v>627</v>
      </c>
      <c r="B303" s="2" t="s">
        <v>628</v>
      </c>
      <c r="C303" s="2" t="s">
        <v>11</v>
      </c>
      <c r="D303" s="3">
        <v>22</v>
      </c>
      <c r="E303" s="2" t="s">
        <v>34</v>
      </c>
      <c r="F303" s="2" t="s">
        <v>37</v>
      </c>
      <c r="G303" s="4">
        <v>95897</v>
      </c>
      <c r="H303" s="2" t="s">
        <v>14</v>
      </c>
      <c r="I303" s="1">
        <v>44473</v>
      </c>
      <c r="J303" t="str">
        <f ca="1">DATEDIF(Table2[[#This Row],[Join_Date]], TODAY(), "Y") &amp; "yrs"</f>
        <v>4yrs</v>
      </c>
      <c r="K303" t="str">
        <f>IF(Table2[[#This Row],[Age]]&lt;=19,"Teen",
   IF(Table2[[#This Row],[Age]]&lt;=35,"Young Adult",
      IF(Table2[[#This Row],[Age]]&lt;=55,"Middle-Age",
         "Old")))</f>
        <v>Young Adult</v>
      </c>
      <c r="L303" t="str">
        <f>IF(Table2[[#This Row],[Income]]&lt;=30000,"Low",
   IF(Table2[[#This Row],[Income]]&lt;=60000,"Medium",
      IF(Table2[[#This Row],[Income]]&lt;=100000,"High",
         "Premium")))</f>
        <v>High</v>
      </c>
    </row>
    <row r="304" spans="1:12" x14ac:dyDescent="0.35">
      <c r="A304" t="s">
        <v>629</v>
      </c>
      <c r="B304" s="2" t="s">
        <v>630</v>
      </c>
      <c r="C304" s="2" t="s">
        <v>11</v>
      </c>
      <c r="D304" s="3">
        <v>52</v>
      </c>
      <c r="E304" s="2" t="s">
        <v>30</v>
      </c>
      <c r="F304" s="2" t="s">
        <v>13</v>
      </c>
      <c r="G304" s="4">
        <v>147118</v>
      </c>
      <c r="H304" s="2" t="s">
        <v>20</v>
      </c>
      <c r="I304" s="1">
        <v>44957</v>
      </c>
      <c r="J304" t="str">
        <f ca="1">DATEDIF(Table2[[#This Row],[Join_Date]], TODAY(), "Y") &amp; "yrs"</f>
        <v>2yrs</v>
      </c>
      <c r="K304" t="str">
        <f>IF(Table2[[#This Row],[Age]]&lt;=19,"Teen",
   IF(Table2[[#This Row],[Age]]&lt;=35,"Young Adult",
      IF(Table2[[#This Row],[Age]]&lt;=55,"Middle-Age",
         "Old")))</f>
        <v>Middle-Age</v>
      </c>
      <c r="L304" t="str">
        <f>IF(Table2[[#This Row],[Income]]&lt;=30000,"Low",
   IF(Table2[[#This Row],[Income]]&lt;=60000,"Medium",
      IF(Table2[[#This Row],[Income]]&lt;=100000,"High",
         "Premium")))</f>
        <v>Premium</v>
      </c>
    </row>
    <row r="305" spans="1:12" x14ac:dyDescent="0.35">
      <c r="A305" t="s">
        <v>631</v>
      </c>
      <c r="B305" s="2" t="s">
        <v>632</v>
      </c>
      <c r="C305" s="2" t="s">
        <v>17</v>
      </c>
      <c r="D305" s="3">
        <v>40</v>
      </c>
      <c r="E305" s="2" t="s">
        <v>18</v>
      </c>
      <c r="F305" s="2" t="s">
        <v>27</v>
      </c>
      <c r="G305" s="4">
        <v>88577</v>
      </c>
      <c r="H305" s="2" t="s">
        <v>20</v>
      </c>
      <c r="I305" s="1">
        <v>43251</v>
      </c>
      <c r="J305" t="str">
        <f ca="1">DATEDIF(Table2[[#This Row],[Join_Date]], TODAY(), "Y") &amp; "yrs"</f>
        <v>7yrs</v>
      </c>
      <c r="K305" t="str">
        <f>IF(Table2[[#This Row],[Age]]&lt;=19,"Teen",
   IF(Table2[[#This Row],[Age]]&lt;=35,"Young Adult",
      IF(Table2[[#This Row],[Age]]&lt;=55,"Middle-Age",
         "Old")))</f>
        <v>Middle-Age</v>
      </c>
      <c r="L305" t="str">
        <f>IF(Table2[[#This Row],[Income]]&lt;=30000,"Low",
   IF(Table2[[#This Row],[Income]]&lt;=60000,"Medium",
      IF(Table2[[#This Row],[Income]]&lt;=100000,"High",
         "Premium")))</f>
        <v>High</v>
      </c>
    </row>
    <row r="306" spans="1:12" x14ac:dyDescent="0.35">
      <c r="A306" t="s">
        <v>633</v>
      </c>
      <c r="B306" s="2" t="s">
        <v>634</v>
      </c>
      <c r="C306" s="2" t="s">
        <v>17</v>
      </c>
      <c r="D306" s="3">
        <v>46</v>
      </c>
      <c r="E306" s="2" t="s">
        <v>30</v>
      </c>
      <c r="F306" s="2" t="s">
        <v>19</v>
      </c>
      <c r="G306" s="4">
        <v>29078</v>
      </c>
      <c r="H306" s="2" t="s">
        <v>20</v>
      </c>
      <c r="I306" s="1">
        <v>43041</v>
      </c>
      <c r="J306" t="str">
        <f ca="1">DATEDIF(Table2[[#This Row],[Join_Date]], TODAY(), "Y") &amp; "yrs"</f>
        <v>8yrs</v>
      </c>
      <c r="K306" t="str">
        <f>IF(Table2[[#This Row],[Age]]&lt;=19,"Teen",
   IF(Table2[[#This Row],[Age]]&lt;=35,"Young Adult",
      IF(Table2[[#This Row],[Age]]&lt;=55,"Middle-Age",
         "Old")))</f>
        <v>Middle-Age</v>
      </c>
      <c r="L306" t="str">
        <f>IF(Table2[[#This Row],[Income]]&lt;=30000,"Low",
   IF(Table2[[#This Row],[Income]]&lt;=60000,"Medium",
      IF(Table2[[#This Row],[Income]]&lt;=100000,"High",
         "Premium")))</f>
        <v>Low</v>
      </c>
    </row>
    <row r="307" spans="1:12" x14ac:dyDescent="0.35">
      <c r="A307" t="s">
        <v>635</v>
      </c>
      <c r="B307" s="2" t="s">
        <v>636</v>
      </c>
      <c r="C307" s="2" t="s">
        <v>11</v>
      </c>
      <c r="D307" s="3">
        <v>60</v>
      </c>
      <c r="E307" s="2" t="s">
        <v>12</v>
      </c>
      <c r="F307" s="2" t="s">
        <v>13</v>
      </c>
      <c r="G307" s="4">
        <v>176075</v>
      </c>
      <c r="H307" s="2" t="s">
        <v>14</v>
      </c>
      <c r="I307" s="1">
        <v>43261</v>
      </c>
      <c r="J307" t="str">
        <f ca="1">DATEDIF(Table2[[#This Row],[Join_Date]], TODAY(), "Y") &amp; "yrs"</f>
        <v>7yrs</v>
      </c>
      <c r="K307" t="str">
        <f>IF(Table2[[#This Row],[Age]]&lt;=19,"Teen",
   IF(Table2[[#This Row],[Age]]&lt;=35,"Young Adult",
      IF(Table2[[#This Row],[Age]]&lt;=55,"Middle-Age",
         "Old")))</f>
        <v>Old</v>
      </c>
      <c r="L307" t="str">
        <f>IF(Table2[[#This Row],[Income]]&lt;=30000,"Low",
   IF(Table2[[#This Row],[Income]]&lt;=60000,"Medium",
      IF(Table2[[#This Row],[Income]]&lt;=100000,"High",
         "Premium")))</f>
        <v>Premium</v>
      </c>
    </row>
    <row r="308" spans="1:12" x14ac:dyDescent="0.35">
      <c r="A308" t="s">
        <v>637</v>
      </c>
      <c r="B308" s="2" t="s">
        <v>638</v>
      </c>
      <c r="C308" s="2" t="s">
        <v>17</v>
      </c>
      <c r="D308" s="3">
        <v>28</v>
      </c>
      <c r="E308" s="2" t="s">
        <v>30</v>
      </c>
      <c r="F308" s="2" t="s">
        <v>23</v>
      </c>
      <c r="G308" s="4">
        <v>82768</v>
      </c>
      <c r="H308" s="2" t="s">
        <v>14</v>
      </c>
      <c r="I308" s="1">
        <v>42293</v>
      </c>
      <c r="J308" t="str">
        <f ca="1">DATEDIF(Table2[[#This Row],[Join_Date]], TODAY(), "Y") &amp; "yrs"</f>
        <v>10yrs</v>
      </c>
      <c r="K308" t="str">
        <f>IF(Table2[[#This Row],[Age]]&lt;=19,"Teen",
   IF(Table2[[#This Row],[Age]]&lt;=35,"Young Adult",
      IF(Table2[[#This Row],[Age]]&lt;=55,"Middle-Age",
         "Old")))</f>
        <v>Young Adult</v>
      </c>
      <c r="L308" t="str">
        <f>IF(Table2[[#This Row],[Income]]&lt;=30000,"Low",
   IF(Table2[[#This Row],[Income]]&lt;=60000,"Medium",
      IF(Table2[[#This Row],[Income]]&lt;=100000,"High",
         "Premium")))</f>
        <v>High</v>
      </c>
    </row>
    <row r="309" spans="1:12" x14ac:dyDescent="0.35">
      <c r="A309" t="s">
        <v>639</v>
      </c>
      <c r="B309" s="2" t="s">
        <v>640</v>
      </c>
      <c r="C309" s="2" t="s">
        <v>17</v>
      </c>
      <c r="D309" s="3">
        <v>35</v>
      </c>
      <c r="E309" s="2" t="s">
        <v>12</v>
      </c>
      <c r="F309" s="2" t="s">
        <v>27</v>
      </c>
      <c r="G309" s="4">
        <v>71047</v>
      </c>
      <c r="H309" s="2" t="s">
        <v>14</v>
      </c>
      <c r="I309" s="1">
        <v>42239</v>
      </c>
      <c r="J309" t="str">
        <f ca="1">DATEDIF(Table2[[#This Row],[Join_Date]], TODAY(), "Y") &amp; "yrs"</f>
        <v>10yrs</v>
      </c>
      <c r="K309" t="str">
        <f>IF(Table2[[#This Row],[Age]]&lt;=19,"Teen",
   IF(Table2[[#This Row],[Age]]&lt;=35,"Young Adult",
      IF(Table2[[#This Row],[Age]]&lt;=55,"Middle-Age",
         "Old")))</f>
        <v>Young Adult</v>
      </c>
      <c r="L309" t="str">
        <f>IF(Table2[[#This Row],[Income]]&lt;=30000,"Low",
   IF(Table2[[#This Row],[Income]]&lt;=60000,"Medium",
      IF(Table2[[#This Row],[Income]]&lt;=100000,"High",
         "Premium")))</f>
        <v>High</v>
      </c>
    </row>
    <row r="310" spans="1:12" x14ac:dyDescent="0.35">
      <c r="A310" t="s">
        <v>641</v>
      </c>
      <c r="B310" s="2" t="s">
        <v>642</v>
      </c>
      <c r="C310" s="2" t="s">
        <v>17</v>
      </c>
      <c r="D310" s="3">
        <v>64</v>
      </c>
      <c r="E310" s="2" t="s">
        <v>30</v>
      </c>
      <c r="F310" s="2" t="s">
        <v>27</v>
      </c>
      <c r="G310" s="4">
        <v>91626</v>
      </c>
      <c r="H310" s="2" t="s">
        <v>14</v>
      </c>
      <c r="I310" s="1">
        <v>42506</v>
      </c>
      <c r="J310" t="str">
        <f ca="1">DATEDIF(Table2[[#This Row],[Join_Date]], TODAY(), "Y") &amp; "yrs"</f>
        <v>9yrs</v>
      </c>
      <c r="K310" t="str">
        <f>IF(Table2[[#This Row],[Age]]&lt;=19,"Teen",
   IF(Table2[[#This Row],[Age]]&lt;=35,"Young Adult",
      IF(Table2[[#This Row],[Age]]&lt;=55,"Middle-Age",
         "Old")))</f>
        <v>Old</v>
      </c>
      <c r="L310" t="str">
        <f>IF(Table2[[#This Row],[Income]]&lt;=30000,"Low",
   IF(Table2[[#This Row],[Income]]&lt;=60000,"Medium",
      IF(Table2[[#This Row],[Income]]&lt;=100000,"High",
         "Premium")))</f>
        <v>High</v>
      </c>
    </row>
    <row r="311" spans="1:12" x14ac:dyDescent="0.35">
      <c r="A311" t="s">
        <v>643</v>
      </c>
      <c r="B311" s="2" t="s">
        <v>644</v>
      </c>
      <c r="C311" s="2" t="s">
        <v>17</v>
      </c>
      <c r="D311" s="3">
        <v>29</v>
      </c>
      <c r="E311" s="2" t="s">
        <v>18</v>
      </c>
      <c r="F311" s="2" t="s">
        <v>13</v>
      </c>
      <c r="G311" s="4">
        <v>77660</v>
      </c>
      <c r="H311" s="2" t="s">
        <v>14</v>
      </c>
      <c r="I311" s="1">
        <v>42720</v>
      </c>
      <c r="J311" t="str">
        <f ca="1">DATEDIF(Table2[[#This Row],[Join_Date]], TODAY(), "Y") &amp; "yrs"</f>
        <v>9yrs</v>
      </c>
      <c r="K311" t="str">
        <f>IF(Table2[[#This Row],[Age]]&lt;=19,"Teen",
   IF(Table2[[#This Row],[Age]]&lt;=35,"Young Adult",
      IF(Table2[[#This Row],[Age]]&lt;=55,"Middle-Age",
         "Old")))</f>
        <v>Young Adult</v>
      </c>
      <c r="L311" t="str">
        <f>IF(Table2[[#This Row],[Income]]&lt;=30000,"Low",
   IF(Table2[[#This Row],[Income]]&lt;=60000,"Medium",
      IF(Table2[[#This Row],[Income]]&lt;=100000,"High",
         "Premium")))</f>
        <v>High</v>
      </c>
    </row>
    <row r="312" spans="1:12" x14ac:dyDescent="0.35">
      <c r="A312" t="s">
        <v>645</v>
      </c>
      <c r="B312" s="2" t="s">
        <v>646</v>
      </c>
      <c r="C312" s="2" t="s">
        <v>17</v>
      </c>
      <c r="D312" s="3">
        <v>26</v>
      </c>
      <c r="E312" s="2" t="s">
        <v>12</v>
      </c>
      <c r="F312" s="2" t="s">
        <v>13</v>
      </c>
      <c r="G312" s="4">
        <v>152997</v>
      </c>
      <c r="H312" s="2" t="s">
        <v>20</v>
      </c>
      <c r="I312" s="1">
        <v>42861</v>
      </c>
      <c r="J312" t="str">
        <f ca="1">DATEDIF(Table2[[#This Row],[Join_Date]], TODAY(), "Y") &amp; "yrs"</f>
        <v>8yrs</v>
      </c>
      <c r="K312" t="str">
        <f>IF(Table2[[#This Row],[Age]]&lt;=19,"Teen",
   IF(Table2[[#This Row],[Age]]&lt;=35,"Young Adult",
      IF(Table2[[#This Row],[Age]]&lt;=55,"Middle-Age",
         "Old")))</f>
        <v>Young Adult</v>
      </c>
      <c r="L312" t="str">
        <f>IF(Table2[[#This Row],[Income]]&lt;=30000,"Low",
   IF(Table2[[#This Row],[Income]]&lt;=60000,"Medium",
      IF(Table2[[#This Row],[Income]]&lt;=100000,"High",
         "Premium")))</f>
        <v>Premium</v>
      </c>
    </row>
    <row r="313" spans="1:12" x14ac:dyDescent="0.35">
      <c r="A313" t="s">
        <v>647</v>
      </c>
      <c r="B313" s="2" t="s">
        <v>648</v>
      </c>
      <c r="C313" s="2" t="s">
        <v>11</v>
      </c>
      <c r="D313" s="3">
        <v>27</v>
      </c>
      <c r="E313" s="2" t="s">
        <v>34</v>
      </c>
      <c r="F313" s="2" t="s">
        <v>19</v>
      </c>
      <c r="G313" s="4">
        <v>137832</v>
      </c>
      <c r="H313" s="2" t="s">
        <v>14</v>
      </c>
      <c r="I313" s="1">
        <v>43767</v>
      </c>
      <c r="J313" t="str">
        <f ca="1">DATEDIF(Table2[[#This Row],[Join_Date]], TODAY(), "Y") &amp; "yrs"</f>
        <v>6yrs</v>
      </c>
      <c r="K313" t="str">
        <f>IF(Table2[[#This Row],[Age]]&lt;=19,"Teen",
   IF(Table2[[#This Row],[Age]]&lt;=35,"Young Adult",
      IF(Table2[[#This Row],[Age]]&lt;=55,"Middle-Age",
         "Old")))</f>
        <v>Young Adult</v>
      </c>
      <c r="L313" t="str">
        <f>IF(Table2[[#This Row],[Income]]&lt;=30000,"Low",
   IF(Table2[[#This Row],[Income]]&lt;=60000,"Medium",
      IF(Table2[[#This Row],[Income]]&lt;=100000,"High",
         "Premium")))</f>
        <v>Premium</v>
      </c>
    </row>
    <row r="314" spans="1:12" x14ac:dyDescent="0.35">
      <c r="A314" t="s">
        <v>649</v>
      </c>
      <c r="B314" s="2" t="s">
        <v>650</v>
      </c>
      <c r="C314" s="2" t="s">
        <v>17</v>
      </c>
      <c r="D314" s="3">
        <v>61</v>
      </c>
      <c r="E314" s="2" t="s">
        <v>34</v>
      </c>
      <c r="F314" s="2" t="s">
        <v>37</v>
      </c>
      <c r="G314" s="4">
        <v>150406</v>
      </c>
      <c r="H314" s="2" t="s">
        <v>14</v>
      </c>
      <c r="I314" s="1">
        <v>43566</v>
      </c>
      <c r="J314" t="str">
        <f ca="1">DATEDIF(Table2[[#This Row],[Join_Date]], TODAY(), "Y") &amp; "yrs"</f>
        <v>6yrs</v>
      </c>
      <c r="K314" t="str">
        <f>IF(Table2[[#This Row],[Age]]&lt;=19,"Teen",
   IF(Table2[[#This Row],[Age]]&lt;=35,"Young Adult",
      IF(Table2[[#This Row],[Age]]&lt;=55,"Middle-Age",
         "Old")))</f>
        <v>Old</v>
      </c>
      <c r="L314" t="str">
        <f>IF(Table2[[#This Row],[Income]]&lt;=30000,"Low",
   IF(Table2[[#This Row],[Income]]&lt;=60000,"Medium",
      IF(Table2[[#This Row],[Income]]&lt;=100000,"High",
         "Premium")))</f>
        <v>Premium</v>
      </c>
    </row>
    <row r="315" spans="1:12" x14ac:dyDescent="0.35">
      <c r="A315" t="s">
        <v>651</v>
      </c>
      <c r="B315" s="2" t="s">
        <v>652</v>
      </c>
      <c r="C315" s="2" t="s">
        <v>11</v>
      </c>
      <c r="D315" s="3">
        <v>34</v>
      </c>
      <c r="E315" s="2" t="s">
        <v>30</v>
      </c>
      <c r="F315" s="2" t="s">
        <v>13</v>
      </c>
      <c r="G315" s="4">
        <v>145150</v>
      </c>
      <c r="H315" s="2" t="s">
        <v>14</v>
      </c>
      <c r="I315" s="1">
        <v>44714</v>
      </c>
      <c r="J315" t="str">
        <f ca="1">DATEDIF(Table2[[#This Row],[Join_Date]], TODAY(), "Y") &amp; "yrs"</f>
        <v>3yrs</v>
      </c>
      <c r="K315" t="str">
        <f>IF(Table2[[#This Row],[Age]]&lt;=19,"Teen",
   IF(Table2[[#This Row],[Age]]&lt;=35,"Young Adult",
      IF(Table2[[#This Row],[Age]]&lt;=55,"Middle-Age",
         "Old")))</f>
        <v>Young Adult</v>
      </c>
      <c r="L315" t="str">
        <f>IF(Table2[[#This Row],[Income]]&lt;=30000,"Low",
   IF(Table2[[#This Row],[Income]]&lt;=60000,"Medium",
      IF(Table2[[#This Row],[Income]]&lt;=100000,"High",
         "Premium")))</f>
        <v>Premium</v>
      </c>
    </row>
    <row r="316" spans="1:12" x14ac:dyDescent="0.35">
      <c r="A316" t="s">
        <v>653</v>
      </c>
      <c r="B316" s="2" t="s">
        <v>654</v>
      </c>
      <c r="C316" s="2" t="s">
        <v>11</v>
      </c>
      <c r="D316" s="3">
        <v>55</v>
      </c>
      <c r="E316" s="2" t="s">
        <v>34</v>
      </c>
      <c r="F316" s="2" t="s">
        <v>42</v>
      </c>
      <c r="G316" s="4">
        <v>177087</v>
      </c>
      <c r="H316" s="2" t="s">
        <v>14</v>
      </c>
      <c r="I316" s="1">
        <v>45794</v>
      </c>
      <c r="J316" t="str">
        <f ca="1">DATEDIF(Table2[[#This Row],[Join_Date]], TODAY(), "Y") &amp; "yrs"</f>
        <v>0yrs</v>
      </c>
      <c r="K316" t="str">
        <f>IF(Table2[[#This Row],[Age]]&lt;=19,"Teen",
   IF(Table2[[#This Row],[Age]]&lt;=35,"Young Adult",
      IF(Table2[[#This Row],[Age]]&lt;=55,"Middle-Age",
         "Old")))</f>
        <v>Middle-Age</v>
      </c>
      <c r="L316" t="str">
        <f>IF(Table2[[#This Row],[Income]]&lt;=30000,"Low",
   IF(Table2[[#This Row],[Income]]&lt;=60000,"Medium",
      IF(Table2[[#This Row],[Income]]&lt;=100000,"High",
         "Premium")))</f>
        <v>Premium</v>
      </c>
    </row>
    <row r="317" spans="1:12" x14ac:dyDescent="0.35">
      <c r="A317" t="s">
        <v>655</v>
      </c>
      <c r="B317" s="2" t="s">
        <v>656</v>
      </c>
      <c r="C317" s="2" t="s">
        <v>17</v>
      </c>
      <c r="D317" s="3">
        <v>24</v>
      </c>
      <c r="E317" s="2" t="s">
        <v>12</v>
      </c>
      <c r="F317" s="2" t="s">
        <v>13</v>
      </c>
      <c r="G317" s="4">
        <v>53320</v>
      </c>
      <c r="H317" s="2" t="s">
        <v>14</v>
      </c>
      <c r="I317" s="1">
        <v>45058</v>
      </c>
      <c r="J317" t="str">
        <f ca="1">DATEDIF(Table2[[#This Row],[Join_Date]], TODAY(), "Y") &amp; "yrs"</f>
        <v>2yrs</v>
      </c>
      <c r="K317" t="str">
        <f>IF(Table2[[#This Row],[Age]]&lt;=19,"Teen",
   IF(Table2[[#This Row],[Age]]&lt;=35,"Young Adult",
      IF(Table2[[#This Row],[Age]]&lt;=55,"Middle-Age",
         "Old")))</f>
        <v>Young Adult</v>
      </c>
      <c r="L317" t="str">
        <f>IF(Table2[[#This Row],[Income]]&lt;=30000,"Low",
   IF(Table2[[#This Row],[Income]]&lt;=60000,"Medium",
      IF(Table2[[#This Row],[Income]]&lt;=100000,"High",
         "Premium")))</f>
        <v>Medium</v>
      </c>
    </row>
    <row r="318" spans="1:12" x14ac:dyDescent="0.35">
      <c r="A318" t="s">
        <v>657</v>
      </c>
      <c r="B318" s="2" t="s">
        <v>658</v>
      </c>
      <c r="C318" s="2" t="s">
        <v>11</v>
      </c>
      <c r="D318" s="3">
        <v>63</v>
      </c>
      <c r="E318" s="2" t="s">
        <v>34</v>
      </c>
      <c r="F318" s="2" t="s">
        <v>31</v>
      </c>
      <c r="G318" s="4">
        <v>84881</v>
      </c>
      <c r="H318" s="2" t="s">
        <v>24</v>
      </c>
      <c r="I318" s="1">
        <v>44650</v>
      </c>
      <c r="J318" t="str">
        <f ca="1">DATEDIF(Table2[[#This Row],[Join_Date]], TODAY(), "Y") &amp; "yrs"</f>
        <v>3yrs</v>
      </c>
      <c r="K318" t="str">
        <f>IF(Table2[[#This Row],[Age]]&lt;=19,"Teen",
   IF(Table2[[#This Row],[Age]]&lt;=35,"Young Adult",
      IF(Table2[[#This Row],[Age]]&lt;=55,"Middle-Age",
         "Old")))</f>
        <v>Old</v>
      </c>
      <c r="L318" t="str">
        <f>IF(Table2[[#This Row],[Income]]&lt;=30000,"Low",
   IF(Table2[[#This Row],[Income]]&lt;=60000,"Medium",
      IF(Table2[[#This Row],[Income]]&lt;=100000,"High",
         "Premium")))</f>
        <v>High</v>
      </c>
    </row>
    <row r="319" spans="1:12" x14ac:dyDescent="0.35">
      <c r="A319" t="s">
        <v>659</v>
      </c>
      <c r="B319" s="2" t="s">
        <v>660</v>
      </c>
      <c r="C319" s="2" t="s">
        <v>11</v>
      </c>
      <c r="D319" s="3">
        <v>30</v>
      </c>
      <c r="E319" s="2" t="s">
        <v>18</v>
      </c>
      <c r="F319" s="2" t="s">
        <v>23</v>
      </c>
      <c r="G319" s="4">
        <v>110827</v>
      </c>
      <c r="H319" s="2" t="s">
        <v>20</v>
      </c>
      <c r="I319" s="1">
        <v>42381</v>
      </c>
      <c r="J319" t="str">
        <f ca="1">DATEDIF(Table2[[#This Row],[Join_Date]], TODAY(), "Y") &amp; "yrs"</f>
        <v>10yrs</v>
      </c>
      <c r="K319" t="str">
        <f>IF(Table2[[#This Row],[Age]]&lt;=19,"Teen",
   IF(Table2[[#This Row],[Age]]&lt;=35,"Young Adult",
      IF(Table2[[#This Row],[Age]]&lt;=55,"Middle-Age",
         "Old")))</f>
        <v>Young Adult</v>
      </c>
      <c r="L319" t="str">
        <f>IF(Table2[[#This Row],[Income]]&lt;=30000,"Low",
   IF(Table2[[#This Row],[Income]]&lt;=60000,"Medium",
      IF(Table2[[#This Row],[Income]]&lt;=100000,"High",
         "Premium")))</f>
        <v>Premium</v>
      </c>
    </row>
    <row r="320" spans="1:12" x14ac:dyDescent="0.35">
      <c r="A320" t="s">
        <v>661</v>
      </c>
      <c r="B320" s="2" t="s">
        <v>662</v>
      </c>
      <c r="C320" s="2" t="s">
        <v>11</v>
      </c>
      <c r="D320" s="3">
        <v>57</v>
      </c>
      <c r="E320" s="2" t="s">
        <v>18</v>
      </c>
      <c r="F320" s="2" t="s">
        <v>42</v>
      </c>
      <c r="G320" s="4">
        <v>122215</v>
      </c>
      <c r="H320" s="2" t="s">
        <v>24</v>
      </c>
      <c r="I320" s="1">
        <v>43637</v>
      </c>
      <c r="J320" t="str">
        <f ca="1">DATEDIF(Table2[[#This Row],[Join_Date]], TODAY(), "Y") &amp; "yrs"</f>
        <v>6yrs</v>
      </c>
      <c r="K320" t="str">
        <f>IF(Table2[[#This Row],[Age]]&lt;=19,"Teen",
   IF(Table2[[#This Row],[Age]]&lt;=35,"Young Adult",
      IF(Table2[[#This Row],[Age]]&lt;=55,"Middle-Age",
         "Old")))</f>
        <v>Old</v>
      </c>
      <c r="L320" t="str">
        <f>IF(Table2[[#This Row],[Income]]&lt;=30000,"Low",
   IF(Table2[[#This Row],[Income]]&lt;=60000,"Medium",
      IF(Table2[[#This Row],[Income]]&lt;=100000,"High",
         "Premium")))</f>
        <v>Premium</v>
      </c>
    </row>
    <row r="321" spans="1:12" x14ac:dyDescent="0.35">
      <c r="A321" t="s">
        <v>663</v>
      </c>
      <c r="B321" s="2" t="s">
        <v>664</v>
      </c>
      <c r="C321" s="2" t="s">
        <v>17</v>
      </c>
      <c r="D321" s="3">
        <v>59</v>
      </c>
      <c r="E321" s="2" t="s">
        <v>30</v>
      </c>
      <c r="F321" s="2" t="s">
        <v>42</v>
      </c>
      <c r="G321" s="4">
        <v>177361</v>
      </c>
      <c r="H321" s="2" t="s">
        <v>14</v>
      </c>
      <c r="I321" s="1">
        <v>45185</v>
      </c>
      <c r="J321" t="str">
        <f ca="1">DATEDIF(Table2[[#This Row],[Join_Date]], TODAY(), "Y") &amp; "yrs"</f>
        <v>2yrs</v>
      </c>
      <c r="K321" t="str">
        <f>IF(Table2[[#This Row],[Age]]&lt;=19,"Teen",
   IF(Table2[[#This Row],[Age]]&lt;=35,"Young Adult",
      IF(Table2[[#This Row],[Age]]&lt;=55,"Middle-Age",
         "Old")))</f>
        <v>Old</v>
      </c>
      <c r="L321" t="str">
        <f>IF(Table2[[#This Row],[Income]]&lt;=30000,"Low",
   IF(Table2[[#This Row],[Income]]&lt;=60000,"Medium",
      IF(Table2[[#This Row],[Income]]&lt;=100000,"High",
         "Premium")))</f>
        <v>Premium</v>
      </c>
    </row>
    <row r="322" spans="1:12" x14ac:dyDescent="0.35">
      <c r="A322" t="s">
        <v>665</v>
      </c>
      <c r="B322" s="2" t="s">
        <v>666</v>
      </c>
      <c r="C322" s="2" t="s">
        <v>17</v>
      </c>
      <c r="D322" s="3">
        <v>26</v>
      </c>
      <c r="E322" s="2" t="s">
        <v>12</v>
      </c>
      <c r="F322" s="2" t="s">
        <v>31</v>
      </c>
      <c r="G322" s="4">
        <v>154461</v>
      </c>
      <c r="H322" s="2" t="s">
        <v>14</v>
      </c>
      <c r="I322" s="1">
        <v>44900</v>
      </c>
      <c r="J322" t="str">
        <f ca="1">DATEDIF(Table2[[#This Row],[Join_Date]], TODAY(), "Y") &amp; "yrs"</f>
        <v>3yrs</v>
      </c>
      <c r="K322" t="str">
        <f>IF(Table2[[#This Row],[Age]]&lt;=19,"Teen",
   IF(Table2[[#This Row],[Age]]&lt;=35,"Young Adult",
      IF(Table2[[#This Row],[Age]]&lt;=55,"Middle-Age",
         "Old")))</f>
        <v>Young Adult</v>
      </c>
      <c r="L322" t="str">
        <f>IF(Table2[[#This Row],[Income]]&lt;=30000,"Low",
   IF(Table2[[#This Row],[Income]]&lt;=60000,"Medium",
      IF(Table2[[#This Row],[Income]]&lt;=100000,"High",
         "Premium")))</f>
        <v>Premium</v>
      </c>
    </row>
    <row r="323" spans="1:12" x14ac:dyDescent="0.35">
      <c r="A323" t="s">
        <v>667</v>
      </c>
      <c r="B323" s="2" t="s">
        <v>668</v>
      </c>
      <c r="C323" s="2" t="s">
        <v>11</v>
      </c>
      <c r="D323" s="3">
        <v>67</v>
      </c>
      <c r="E323" s="2" t="s">
        <v>18</v>
      </c>
      <c r="F323" s="2" t="s">
        <v>31</v>
      </c>
      <c r="G323" s="4">
        <v>176755</v>
      </c>
      <c r="H323" s="2" t="s">
        <v>14</v>
      </c>
      <c r="I323" s="1">
        <v>43613</v>
      </c>
      <c r="J323" t="str">
        <f ca="1">DATEDIF(Table2[[#This Row],[Join_Date]], TODAY(), "Y") &amp; "yrs"</f>
        <v>6yrs</v>
      </c>
      <c r="K323" t="str">
        <f>IF(Table2[[#This Row],[Age]]&lt;=19,"Teen",
   IF(Table2[[#This Row],[Age]]&lt;=35,"Young Adult",
      IF(Table2[[#This Row],[Age]]&lt;=55,"Middle-Age",
         "Old")))</f>
        <v>Old</v>
      </c>
      <c r="L323" t="str">
        <f>IF(Table2[[#This Row],[Income]]&lt;=30000,"Low",
   IF(Table2[[#This Row],[Income]]&lt;=60000,"Medium",
      IF(Table2[[#This Row],[Income]]&lt;=100000,"High",
         "Premium")))</f>
        <v>Premium</v>
      </c>
    </row>
    <row r="324" spans="1:12" x14ac:dyDescent="0.35">
      <c r="A324" t="s">
        <v>669</v>
      </c>
      <c r="B324" s="2" t="s">
        <v>670</v>
      </c>
      <c r="C324" s="2" t="s">
        <v>17</v>
      </c>
      <c r="D324" s="3">
        <v>44</v>
      </c>
      <c r="E324" s="2" t="s">
        <v>18</v>
      </c>
      <c r="F324" s="2" t="s">
        <v>27</v>
      </c>
      <c r="G324" s="4">
        <v>164701</v>
      </c>
      <c r="H324" s="2" t="s">
        <v>14</v>
      </c>
      <c r="I324" s="1">
        <v>43365</v>
      </c>
      <c r="J324" t="str">
        <f ca="1">DATEDIF(Table2[[#This Row],[Join_Date]], TODAY(), "Y") &amp; "yrs"</f>
        <v>7yrs</v>
      </c>
      <c r="K324" t="str">
        <f>IF(Table2[[#This Row],[Age]]&lt;=19,"Teen",
   IF(Table2[[#This Row],[Age]]&lt;=35,"Young Adult",
      IF(Table2[[#This Row],[Age]]&lt;=55,"Middle-Age",
         "Old")))</f>
        <v>Middle-Age</v>
      </c>
      <c r="L324" t="str">
        <f>IF(Table2[[#This Row],[Income]]&lt;=30000,"Low",
   IF(Table2[[#This Row],[Income]]&lt;=60000,"Medium",
      IF(Table2[[#This Row],[Income]]&lt;=100000,"High",
         "Premium")))</f>
        <v>Premium</v>
      </c>
    </row>
    <row r="325" spans="1:12" x14ac:dyDescent="0.35">
      <c r="A325" t="s">
        <v>671</v>
      </c>
      <c r="B325" s="2" t="s">
        <v>672</v>
      </c>
      <c r="C325" s="2" t="s">
        <v>17</v>
      </c>
      <c r="D325" s="3">
        <v>19</v>
      </c>
      <c r="E325" s="2" t="s">
        <v>12</v>
      </c>
      <c r="F325" s="2" t="s">
        <v>37</v>
      </c>
      <c r="G325" s="4">
        <v>81550</v>
      </c>
      <c r="H325" s="2" t="s">
        <v>20</v>
      </c>
      <c r="I325" s="1">
        <v>42817</v>
      </c>
      <c r="J325" t="str">
        <f ca="1">DATEDIF(Table2[[#This Row],[Join_Date]], TODAY(), "Y") &amp; "yrs"</f>
        <v>8yrs</v>
      </c>
      <c r="K325" t="str">
        <f>IF(Table2[[#This Row],[Age]]&lt;=19,"Teen",
   IF(Table2[[#This Row],[Age]]&lt;=35,"Young Adult",
      IF(Table2[[#This Row],[Age]]&lt;=55,"Middle-Age",
         "Old")))</f>
        <v>Teen</v>
      </c>
      <c r="L325" t="str">
        <f>IF(Table2[[#This Row],[Income]]&lt;=30000,"Low",
   IF(Table2[[#This Row],[Income]]&lt;=60000,"Medium",
      IF(Table2[[#This Row],[Income]]&lt;=100000,"High",
         "Premium")))</f>
        <v>High</v>
      </c>
    </row>
    <row r="326" spans="1:12" x14ac:dyDescent="0.35">
      <c r="A326" t="s">
        <v>673</v>
      </c>
      <c r="B326" s="2" t="s">
        <v>674</v>
      </c>
      <c r="C326" s="2" t="s">
        <v>17</v>
      </c>
      <c r="D326" s="3">
        <v>22</v>
      </c>
      <c r="E326" s="2" t="s">
        <v>34</v>
      </c>
      <c r="F326" s="2" t="s">
        <v>23</v>
      </c>
      <c r="G326" s="4">
        <v>44826</v>
      </c>
      <c r="H326" s="2" t="s">
        <v>14</v>
      </c>
      <c r="I326" s="1">
        <v>44640</v>
      </c>
      <c r="J326" t="str">
        <f ca="1">DATEDIF(Table2[[#This Row],[Join_Date]], TODAY(), "Y") &amp; "yrs"</f>
        <v>3yrs</v>
      </c>
      <c r="K326" t="str">
        <f>IF(Table2[[#This Row],[Age]]&lt;=19,"Teen",
   IF(Table2[[#This Row],[Age]]&lt;=35,"Young Adult",
      IF(Table2[[#This Row],[Age]]&lt;=55,"Middle-Age",
         "Old")))</f>
        <v>Young Adult</v>
      </c>
      <c r="L326" t="str">
        <f>IF(Table2[[#This Row],[Income]]&lt;=30000,"Low",
   IF(Table2[[#This Row],[Income]]&lt;=60000,"Medium",
      IF(Table2[[#This Row],[Income]]&lt;=100000,"High",
         "Premium")))</f>
        <v>Medium</v>
      </c>
    </row>
    <row r="327" spans="1:12" x14ac:dyDescent="0.35">
      <c r="A327" t="s">
        <v>675</v>
      </c>
      <c r="B327" s="2" t="s">
        <v>676</v>
      </c>
      <c r="C327" s="2" t="s">
        <v>17</v>
      </c>
      <c r="D327" s="3">
        <v>46</v>
      </c>
      <c r="E327" s="2" t="s">
        <v>34</v>
      </c>
      <c r="F327" s="2" t="s">
        <v>19</v>
      </c>
      <c r="G327" s="4">
        <v>120734</v>
      </c>
      <c r="H327" s="2" t="s">
        <v>14</v>
      </c>
      <c r="I327" s="1">
        <v>43847</v>
      </c>
      <c r="J327" t="str">
        <f ca="1">DATEDIF(Table2[[#This Row],[Join_Date]], TODAY(), "Y") &amp; "yrs"</f>
        <v>6yrs</v>
      </c>
      <c r="K327" t="str">
        <f>IF(Table2[[#This Row],[Age]]&lt;=19,"Teen",
   IF(Table2[[#This Row],[Age]]&lt;=35,"Young Adult",
      IF(Table2[[#This Row],[Age]]&lt;=55,"Middle-Age",
         "Old")))</f>
        <v>Middle-Age</v>
      </c>
      <c r="L327" t="str">
        <f>IF(Table2[[#This Row],[Income]]&lt;=30000,"Low",
   IF(Table2[[#This Row],[Income]]&lt;=60000,"Medium",
      IF(Table2[[#This Row],[Income]]&lt;=100000,"High",
         "Premium")))</f>
        <v>Premium</v>
      </c>
    </row>
    <row r="328" spans="1:12" x14ac:dyDescent="0.35">
      <c r="A328" t="s">
        <v>677</v>
      </c>
      <c r="B328" s="2" t="s">
        <v>678</v>
      </c>
      <c r="C328" s="2" t="s">
        <v>11</v>
      </c>
      <c r="D328" s="3">
        <v>54</v>
      </c>
      <c r="E328" s="2" t="s">
        <v>30</v>
      </c>
      <c r="F328" s="2" t="s">
        <v>42</v>
      </c>
      <c r="G328" s="4">
        <v>177702</v>
      </c>
      <c r="H328" s="2" t="s">
        <v>14</v>
      </c>
      <c r="I328" s="1">
        <v>45127</v>
      </c>
      <c r="J328" t="str">
        <f ca="1">DATEDIF(Table2[[#This Row],[Join_Date]], TODAY(), "Y") &amp; "yrs"</f>
        <v>2yrs</v>
      </c>
      <c r="K328" t="str">
        <f>IF(Table2[[#This Row],[Age]]&lt;=19,"Teen",
   IF(Table2[[#This Row],[Age]]&lt;=35,"Young Adult",
      IF(Table2[[#This Row],[Age]]&lt;=55,"Middle-Age",
         "Old")))</f>
        <v>Middle-Age</v>
      </c>
      <c r="L328" t="str">
        <f>IF(Table2[[#This Row],[Income]]&lt;=30000,"Low",
   IF(Table2[[#This Row],[Income]]&lt;=60000,"Medium",
      IF(Table2[[#This Row],[Income]]&lt;=100000,"High",
         "Premium")))</f>
        <v>Premium</v>
      </c>
    </row>
    <row r="329" spans="1:12" x14ac:dyDescent="0.35">
      <c r="A329" t="s">
        <v>679</v>
      </c>
      <c r="B329" s="2" t="s">
        <v>680</v>
      </c>
      <c r="C329" s="2" t="s">
        <v>11</v>
      </c>
      <c r="D329" s="3">
        <v>55</v>
      </c>
      <c r="E329" s="2" t="s">
        <v>34</v>
      </c>
      <c r="F329" s="2" t="s">
        <v>19</v>
      </c>
      <c r="G329" s="4">
        <v>197235</v>
      </c>
      <c r="H329" s="2" t="s">
        <v>14</v>
      </c>
      <c r="I329" s="1">
        <v>44461</v>
      </c>
      <c r="J329" t="str">
        <f ca="1">DATEDIF(Table2[[#This Row],[Join_Date]], TODAY(), "Y") &amp; "yrs"</f>
        <v>4yrs</v>
      </c>
      <c r="K329" t="str">
        <f>IF(Table2[[#This Row],[Age]]&lt;=19,"Teen",
   IF(Table2[[#This Row],[Age]]&lt;=35,"Young Adult",
      IF(Table2[[#This Row],[Age]]&lt;=55,"Middle-Age",
         "Old")))</f>
        <v>Middle-Age</v>
      </c>
      <c r="L329" t="str">
        <f>IF(Table2[[#This Row],[Income]]&lt;=30000,"Low",
   IF(Table2[[#This Row],[Income]]&lt;=60000,"Medium",
      IF(Table2[[#This Row],[Income]]&lt;=100000,"High",
         "Premium")))</f>
        <v>Premium</v>
      </c>
    </row>
    <row r="330" spans="1:12" x14ac:dyDescent="0.35">
      <c r="A330" t="s">
        <v>681</v>
      </c>
      <c r="B330" s="2" t="s">
        <v>682</v>
      </c>
      <c r="C330" s="2" t="s">
        <v>17</v>
      </c>
      <c r="D330" s="3">
        <v>36</v>
      </c>
      <c r="E330" s="2" t="s">
        <v>12</v>
      </c>
      <c r="F330" s="2" t="s">
        <v>13</v>
      </c>
      <c r="G330" s="4">
        <v>118511</v>
      </c>
      <c r="H330" s="2" t="s">
        <v>20</v>
      </c>
      <c r="I330" s="1">
        <v>44791</v>
      </c>
      <c r="J330" t="str">
        <f ca="1">DATEDIF(Table2[[#This Row],[Join_Date]], TODAY(), "Y") &amp; "yrs"</f>
        <v>3yrs</v>
      </c>
      <c r="K330" t="str">
        <f>IF(Table2[[#This Row],[Age]]&lt;=19,"Teen",
   IF(Table2[[#This Row],[Age]]&lt;=35,"Young Adult",
      IF(Table2[[#This Row],[Age]]&lt;=55,"Middle-Age",
         "Old")))</f>
        <v>Middle-Age</v>
      </c>
      <c r="L330" t="str">
        <f>IF(Table2[[#This Row],[Income]]&lt;=30000,"Low",
   IF(Table2[[#This Row],[Income]]&lt;=60000,"Medium",
      IF(Table2[[#This Row],[Income]]&lt;=100000,"High",
         "Premium")))</f>
        <v>Premium</v>
      </c>
    </row>
    <row r="331" spans="1:12" x14ac:dyDescent="0.35">
      <c r="A331" t="s">
        <v>683</v>
      </c>
      <c r="B331" s="2" t="s">
        <v>684</v>
      </c>
      <c r="C331" s="2" t="s">
        <v>17</v>
      </c>
      <c r="D331" s="3">
        <v>25</v>
      </c>
      <c r="E331" s="2" t="s">
        <v>18</v>
      </c>
      <c r="F331" s="2" t="s">
        <v>13</v>
      </c>
      <c r="G331" s="4">
        <v>31653</v>
      </c>
      <c r="H331" s="2" t="s">
        <v>14</v>
      </c>
      <c r="I331" s="1">
        <v>42830</v>
      </c>
      <c r="J331" t="str">
        <f ca="1">DATEDIF(Table2[[#This Row],[Join_Date]], TODAY(), "Y") &amp; "yrs"</f>
        <v>8yrs</v>
      </c>
      <c r="K331" t="str">
        <f>IF(Table2[[#This Row],[Age]]&lt;=19,"Teen",
   IF(Table2[[#This Row],[Age]]&lt;=35,"Young Adult",
      IF(Table2[[#This Row],[Age]]&lt;=55,"Middle-Age",
         "Old")))</f>
        <v>Young Adult</v>
      </c>
      <c r="L331" t="str">
        <f>IF(Table2[[#This Row],[Income]]&lt;=30000,"Low",
   IF(Table2[[#This Row],[Income]]&lt;=60000,"Medium",
      IF(Table2[[#This Row],[Income]]&lt;=100000,"High",
         "Premium")))</f>
        <v>Medium</v>
      </c>
    </row>
    <row r="332" spans="1:12" x14ac:dyDescent="0.35">
      <c r="A332" t="s">
        <v>685</v>
      </c>
      <c r="B332" s="2" t="s">
        <v>686</v>
      </c>
      <c r="C332" s="2" t="s">
        <v>11</v>
      </c>
      <c r="D332" s="3">
        <v>65</v>
      </c>
      <c r="E332" s="2" t="s">
        <v>34</v>
      </c>
      <c r="F332" s="2" t="s">
        <v>19</v>
      </c>
      <c r="G332" s="4">
        <v>179033</v>
      </c>
      <c r="H332" s="2" t="s">
        <v>14</v>
      </c>
      <c r="I332" s="1">
        <v>43776</v>
      </c>
      <c r="J332" t="str">
        <f ca="1">DATEDIF(Table2[[#This Row],[Join_Date]], TODAY(), "Y") &amp; "yrs"</f>
        <v>6yrs</v>
      </c>
      <c r="K332" t="str">
        <f>IF(Table2[[#This Row],[Age]]&lt;=19,"Teen",
   IF(Table2[[#This Row],[Age]]&lt;=35,"Young Adult",
      IF(Table2[[#This Row],[Age]]&lt;=55,"Middle-Age",
         "Old")))</f>
        <v>Old</v>
      </c>
      <c r="L332" t="str">
        <f>IF(Table2[[#This Row],[Income]]&lt;=30000,"Low",
   IF(Table2[[#This Row],[Income]]&lt;=60000,"Medium",
      IF(Table2[[#This Row],[Income]]&lt;=100000,"High",
         "Premium")))</f>
        <v>Premium</v>
      </c>
    </row>
    <row r="333" spans="1:12" x14ac:dyDescent="0.35">
      <c r="A333" t="s">
        <v>687</v>
      </c>
      <c r="B333" s="2" t="s">
        <v>688</v>
      </c>
      <c r="C333" s="2" t="s">
        <v>11</v>
      </c>
      <c r="D333" s="3">
        <v>62</v>
      </c>
      <c r="E333" s="2" t="s">
        <v>30</v>
      </c>
      <c r="F333" s="2" t="s">
        <v>13</v>
      </c>
      <c r="G333" s="4">
        <v>101941</v>
      </c>
      <c r="H333" s="2" t="s">
        <v>14</v>
      </c>
      <c r="I333" s="1">
        <v>44448</v>
      </c>
      <c r="J333" t="str">
        <f ca="1">DATEDIF(Table2[[#This Row],[Join_Date]], TODAY(), "Y") &amp; "yrs"</f>
        <v>4yrs</v>
      </c>
      <c r="K333" t="str">
        <f>IF(Table2[[#This Row],[Age]]&lt;=19,"Teen",
   IF(Table2[[#This Row],[Age]]&lt;=35,"Young Adult",
      IF(Table2[[#This Row],[Age]]&lt;=55,"Middle-Age",
         "Old")))</f>
        <v>Old</v>
      </c>
      <c r="L333" t="str">
        <f>IF(Table2[[#This Row],[Income]]&lt;=30000,"Low",
   IF(Table2[[#This Row],[Income]]&lt;=60000,"Medium",
      IF(Table2[[#This Row],[Income]]&lt;=100000,"High",
         "Premium")))</f>
        <v>Premium</v>
      </c>
    </row>
    <row r="334" spans="1:12" x14ac:dyDescent="0.35">
      <c r="A334" t="s">
        <v>689</v>
      </c>
      <c r="B334" s="2" t="s">
        <v>690</v>
      </c>
      <c r="C334" s="2" t="s">
        <v>17</v>
      </c>
      <c r="D334" s="3">
        <v>18</v>
      </c>
      <c r="E334" s="2" t="s">
        <v>34</v>
      </c>
      <c r="F334" s="2" t="s">
        <v>37</v>
      </c>
      <c r="G334" s="4">
        <v>53662</v>
      </c>
      <c r="H334" s="2" t="s">
        <v>14</v>
      </c>
      <c r="I334" s="1">
        <v>42347</v>
      </c>
      <c r="J334" t="str">
        <f ca="1">DATEDIF(Table2[[#This Row],[Join_Date]], TODAY(), "Y") &amp; "yrs"</f>
        <v>10yrs</v>
      </c>
      <c r="K334" t="str">
        <f>IF(Table2[[#This Row],[Age]]&lt;=19,"Teen",
   IF(Table2[[#This Row],[Age]]&lt;=35,"Young Adult",
      IF(Table2[[#This Row],[Age]]&lt;=55,"Middle-Age",
         "Old")))</f>
        <v>Teen</v>
      </c>
      <c r="L334" t="str">
        <f>IF(Table2[[#This Row],[Income]]&lt;=30000,"Low",
   IF(Table2[[#This Row],[Income]]&lt;=60000,"Medium",
      IF(Table2[[#This Row],[Income]]&lt;=100000,"High",
         "Premium")))</f>
        <v>Medium</v>
      </c>
    </row>
    <row r="335" spans="1:12" x14ac:dyDescent="0.35">
      <c r="A335" t="s">
        <v>691</v>
      </c>
      <c r="B335" s="2" t="s">
        <v>692</v>
      </c>
      <c r="C335" s="2" t="s">
        <v>11</v>
      </c>
      <c r="D335" s="3">
        <v>39</v>
      </c>
      <c r="E335" s="2" t="s">
        <v>12</v>
      </c>
      <c r="F335" s="2" t="s">
        <v>31</v>
      </c>
      <c r="G335" s="4">
        <v>118818</v>
      </c>
      <c r="H335" s="2" t="s">
        <v>20</v>
      </c>
      <c r="I335" s="1">
        <v>43494</v>
      </c>
      <c r="J335" t="str">
        <f ca="1">DATEDIF(Table2[[#This Row],[Join_Date]], TODAY(), "Y") &amp; "yrs"</f>
        <v>6yrs</v>
      </c>
      <c r="K335" t="str">
        <f>IF(Table2[[#This Row],[Age]]&lt;=19,"Teen",
   IF(Table2[[#This Row],[Age]]&lt;=35,"Young Adult",
      IF(Table2[[#This Row],[Age]]&lt;=55,"Middle-Age",
         "Old")))</f>
        <v>Middle-Age</v>
      </c>
      <c r="L335" t="str">
        <f>IF(Table2[[#This Row],[Income]]&lt;=30000,"Low",
   IF(Table2[[#This Row],[Income]]&lt;=60000,"Medium",
      IF(Table2[[#This Row],[Income]]&lt;=100000,"High",
         "Premium")))</f>
        <v>Premium</v>
      </c>
    </row>
    <row r="336" spans="1:12" x14ac:dyDescent="0.35">
      <c r="A336" t="s">
        <v>693</v>
      </c>
      <c r="B336" s="2" t="s">
        <v>694</v>
      </c>
      <c r="C336" s="2" t="s">
        <v>17</v>
      </c>
      <c r="D336" s="3">
        <v>69</v>
      </c>
      <c r="E336" s="2" t="s">
        <v>30</v>
      </c>
      <c r="F336" s="2" t="s">
        <v>13</v>
      </c>
      <c r="G336" s="4">
        <v>172360</v>
      </c>
      <c r="H336" s="2" t="s">
        <v>20</v>
      </c>
      <c r="I336" s="1">
        <v>44573</v>
      </c>
      <c r="J336" t="str">
        <f ca="1">DATEDIF(Table2[[#This Row],[Join_Date]], TODAY(), "Y") &amp; "yrs"</f>
        <v>4yrs</v>
      </c>
      <c r="K336" t="str">
        <f>IF(Table2[[#This Row],[Age]]&lt;=19,"Teen",
   IF(Table2[[#This Row],[Age]]&lt;=35,"Young Adult",
      IF(Table2[[#This Row],[Age]]&lt;=55,"Middle-Age",
         "Old")))</f>
        <v>Old</v>
      </c>
      <c r="L336" t="str">
        <f>IF(Table2[[#This Row],[Income]]&lt;=30000,"Low",
   IF(Table2[[#This Row],[Income]]&lt;=60000,"Medium",
      IF(Table2[[#This Row],[Income]]&lt;=100000,"High",
         "Premium")))</f>
        <v>Premium</v>
      </c>
    </row>
    <row r="337" spans="1:12" x14ac:dyDescent="0.35">
      <c r="A337" t="s">
        <v>695</v>
      </c>
      <c r="B337" s="2" t="s">
        <v>696</v>
      </c>
      <c r="C337" s="2" t="s">
        <v>17</v>
      </c>
      <c r="D337" s="3">
        <v>34</v>
      </c>
      <c r="E337" s="2" t="s">
        <v>34</v>
      </c>
      <c r="F337" s="2" t="s">
        <v>27</v>
      </c>
      <c r="G337" s="4">
        <v>115081</v>
      </c>
      <c r="H337" s="2" t="s">
        <v>24</v>
      </c>
      <c r="I337" s="1">
        <v>42817</v>
      </c>
      <c r="J337" t="str">
        <f ca="1">DATEDIF(Table2[[#This Row],[Join_Date]], TODAY(), "Y") &amp; "yrs"</f>
        <v>8yrs</v>
      </c>
      <c r="K337" t="str">
        <f>IF(Table2[[#This Row],[Age]]&lt;=19,"Teen",
   IF(Table2[[#This Row],[Age]]&lt;=35,"Young Adult",
      IF(Table2[[#This Row],[Age]]&lt;=55,"Middle-Age",
         "Old")))</f>
        <v>Young Adult</v>
      </c>
      <c r="L337" t="str">
        <f>IF(Table2[[#This Row],[Income]]&lt;=30000,"Low",
   IF(Table2[[#This Row],[Income]]&lt;=60000,"Medium",
      IF(Table2[[#This Row],[Income]]&lt;=100000,"High",
         "Premium")))</f>
        <v>Premium</v>
      </c>
    </row>
    <row r="338" spans="1:12" x14ac:dyDescent="0.35">
      <c r="A338" t="s">
        <v>697</v>
      </c>
      <c r="B338" s="2" t="s">
        <v>698</v>
      </c>
      <c r="C338" s="2" t="s">
        <v>11</v>
      </c>
      <c r="D338" s="3">
        <v>24</v>
      </c>
      <c r="E338" s="2" t="s">
        <v>30</v>
      </c>
      <c r="F338" s="2" t="s">
        <v>13</v>
      </c>
      <c r="G338" s="4">
        <v>56877</v>
      </c>
      <c r="H338" s="2" t="s">
        <v>20</v>
      </c>
      <c r="I338" s="1">
        <v>45877</v>
      </c>
      <c r="J338" t="str">
        <f ca="1">DATEDIF(Table2[[#This Row],[Join_Date]], TODAY(), "Y") &amp; "yrs"</f>
        <v>0yrs</v>
      </c>
      <c r="K338" t="str">
        <f>IF(Table2[[#This Row],[Age]]&lt;=19,"Teen",
   IF(Table2[[#This Row],[Age]]&lt;=35,"Young Adult",
      IF(Table2[[#This Row],[Age]]&lt;=55,"Middle-Age",
         "Old")))</f>
        <v>Young Adult</v>
      </c>
      <c r="L338" t="str">
        <f>IF(Table2[[#This Row],[Income]]&lt;=30000,"Low",
   IF(Table2[[#This Row],[Income]]&lt;=60000,"Medium",
      IF(Table2[[#This Row],[Income]]&lt;=100000,"High",
         "Premium")))</f>
        <v>Medium</v>
      </c>
    </row>
    <row r="339" spans="1:12" x14ac:dyDescent="0.35">
      <c r="A339" t="s">
        <v>699</v>
      </c>
      <c r="B339" s="2" t="s">
        <v>700</v>
      </c>
      <c r="C339" s="2" t="s">
        <v>11</v>
      </c>
      <c r="D339" s="3">
        <v>42</v>
      </c>
      <c r="E339" s="2" t="s">
        <v>12</v>
      </c>
      <c r="F339" s="2" t="s">
        <v>23</v>
      </c>
      <c r="G339" s="4">
        <v>131562</v>
      </c>
      <c r="H339" s="2" t="s">
        <v>14</v>
      </c>
      <c r="I339" s="1">
        <v>44868</v>
      </c>
      <c r="J339" t="str">
        <f ca="1">DATEDIF(Table2[[#This Row],[Join_Date]], TODAY(), "Y") &amp; "yrs"</f>
        <v>3yrs</v>
      </c>
      <c r="K339" t="str">
        <f>IF(Table2[[#This Row],[Age]]&lt;=19,"Teen",
   IF(Table2[[#This Row],[Age]]&lt;=35,"Young Adult",
      IF(Table2[[#This Row],[Age]]&lt;=55,"Middle-Age",
         "Old")))</f>
        <v>Middle-Age</v>
      </c>
      <c r="L339" t="str">
        <f>IF(Table2[[#This Row],[Income]]&lt;=30000,"Low",
   IF(Table2[[#This Row],[Income]]&lt;=60000,"Medium",
      IF(Table2[[#This Row],[Income]]&lt;=100000,"High",
         "Premium")))</f>
        <v>Premium</v>
      </c>
    </row>
    <row r="340" spans="1:12" x14ac:dyDescent="0.35">
      <c r="A340" t="s">
        <v>701</v>
      </c>
      <c r="B340" s="2" t="s">
        <v>702</v>
      </c>
      <c r="C340" s="2" t="s">
        <v>17</v>
      </c>
      <c r="D340" s="3">
        <v>62</v>
      </c>
      <c r="E340" s="2" t="s">
        <v>18</v>
      </c>
      <c r="F340" s="2" t="s">
        <v>37</v>
      </c>
      <c r="G340" s="4">
        <v>166385</v>
      </c>
      <c r="H340" s="2" t="s">
        <v>20</v>
      </c>
      <c r="I340" s="1">
        <v>43280</v>
      </c>
      <c r="J340" t="str">
        <f ca="1">DATEDIF(Table2[[#This Row],[Join_Date]], TODAY(), "Y") &amp; "yrs"</f>
        <v>7yrs</v>
      </c>
      <c r="K340" t="str">
        <f>IF(Table2[[#This Row],[Age]]&lt;=19,"Teen",
   IF(Table2[[#This Row],[Age]]&lt;=35,"Young Adult",
      IF(Table2[[#This Row],[Age]]&lt;=55,"Middle-Age",
         "Old")))</f>
        <v>Old</v>
      </c>
      <c r="L340" t="str">
        <f>IF(Table2[[#This Row],[Income]]&lt;=30000,"Low",
   IF(Table2[[#This Row],[Income]]&lt;=60000,"Medium",
      IF(Table2[[#This Row],[Income]]&lt;=100000,"High",
         "Premium")))</f>
        <v>Premium</v>
      </c>
    </row>
    <row r="341" spans="1:12" x14ac:dyDescent="0.35">
      <c r="A341" t="s">
        <v>703</v>
      </c>
      <c r="B341" s="2" t="s">
        <v>704</v>
      </c>
      <c r="C341" s="2" t="s">
        <v>17</v>
      </c>
      <c r="D341" s="3">
        <v>21</v>
      </c>
      <c r="E341" s="2" t="s">
        <v>12</v>
      </c>
      <c r="F341" s="2" t="s">
        <v>23</v>
      </c>
      <c r="G341" s="4">
        <v>92715</v>
      </c>
      <c r="H341" s="2" t="s">
        <v>14</v>
      </c>
      <c r="I341" s="1">
        <v>42927</v>
      </c>
      <c r="J341" t="str">
        <f ca="1">DATEDIF(Table2[[#This Row],[Join_Date]], TODAY(), "Y") &amp; "yrs"</f>
        <v>8yrs</v>
      </c>
      <c r="K341" t="str">
        <f>IF(Table2[[#This Row],[Age]]&lt;=19,"Teen",
   IF(Table2[[#This Row],[Age]]&lt;=35,"Young Adult",
      IF(Table2[[#This Row],[Age]]&lt;=55,"Middle-Age",
         "Old")))</f>
        <v>Young Adult</v>
      </c>
      <c r="L341" t="str">
        <f>IF(Table2[[#This Row],[Income]]&lt;=30000,"Low",
   IF(Table2[[#This Row],[Income]]&lt;=60000,"Medium",
      IF(Table2[[#This Row],[Income]]&lt;=100000,"High",
         "Premium")))</f>
        <v>High</v>
      </c>
    </row>
    <row r="342" spans="1:12" x14ac:dyDescent="0.35">
      <c r="A342" t="s">
        <v>705</v>
      </c>
      <c r="B342" s="2" t="s">
        <v>706</v>
      </c>
      <c r="C342" s="2" t="s">
        <v>11</v>
      </c>
      <c r="D342" s="3">
        <v>53</v>
      </c>
      <c r="E342" s="2" t="s">
        <v>12</v>
      </c>
      <c r="F342" s="2" t="s">
        <v>23</v>
      </c>
      <c r="G342" s="4">
        <v>161398</v>
      </c>
      <c r="H342" s="2" t="s">
        <v>14</v>
      </c>
      <c r="I342" s="1">
        <v>43009</v>
      </c>
      <c r="J342" t="str">
        <f ca="1">DATEDIF(Table2[[#This Row],[Join_Date]], TODAY(), "Y") &amp; "yrs"</f>
        <v>8yrs</v>
      </c>
      <c r="K342" t="str">
        <f>IF(Table2[[#This Row],[Age]]&lt;=19,"Teen",
   IF(Table2[[#This Row],[Age]]&lt;=35,"Young Adult",
      IF(Table2[[#This Row],[Age]]&lt;=55,"Middle-Age",
         "Old")))</f>
        <v>Middle-Age</v>
      </c>
      <c r="L342" t="str">
        <f>IF(Table2[[#This Row],[Income]]&lt;=30000,"Low",
   IF(Table2[[#This Row],[Income]]&lt;=60000,"Medium",
      IF(Table2[[#This Row],[Income]]&lt;=100000,"High",
         "Premium")))</f>
        <v>Premium</v>
      </c>
    </row>
    <row r="343" spans="1:12" x14ac:dyDescent="0.35">
      <c r="A343" t="s">
        <v>707</v>
      </c>
      <c r="B343" s="2" t="s">
        <v>708</v>
      </c>
      <c r="C343" s="2" t="s">
        <v>17</v>
      </c>
      <c r="D343" s="3">
        <v>23</v>
      </c>
      <c r="E343" s="2" t="s">
        <v>12</v>
      </c>
      <c r="F343" s="2" t="s">
        <v>27</v>
      </c>
      <c r="G343" s="4">
        <v>130091</v>
      </c>
      <c r="H343" s="2" t="s">
        <v>20</v>
      </c>
      <c r="I343" s="1">
        <v>45017</v>
      </c>
      <c r="J343" t="str">
        <f ca="1">DATEDIF(Table2[[#This Row],[Join_Date]], TODAY(), "Y") &amp; "yrs"</f>
        <v>2yrs</v>
      </c>
      <c r="K343" t="str">
        <f>IF(Table2[[#This Row],[Age]]&lt;=19,"Teen",
   IF(Table2[[#This Row],[Age]]&lt;=35,"Young Adult",
      IF(Table2[[#This Row],[Age]]&lt;=55,"Middle-Age",
         "Old")))</f>
        <v>Young Adult</v>
      </c>
      <c r="L343" t="str">
        <f>IF(Table2[[#This Row],[Income]]&lt;=30000,"Low",
   IF(Table2[[#This Row],[Income]]&lt;=60000,"Medium",
      IF(Table2[[#This Row],[Income]]&lt;=100000,"High",
         "Premium")))</f>
        <v>Premium</v>
      </c>
    </row>
    <row r="344" spans="1:12" x14ac:dyDescent="0.35">
      <c r="A344" t="s">
        <v>709</v>
      </c>
      <c r="B344" s="2" t="s">
        <v>710</v>
      </c>
      <c r="C344" s="2" t="s">
        <v>11</v>
      </c>
      <c r="D344" s="3">
        <v>48</v>
      </c>
      <c r="E344" s="2" t="s">
        <v>12</v>
      </c>
      <c r="F344" s="2" t="s">
        <v>37</v>
      </c>
      <c r="G344" s="4">
        <v>152632</v>
      </c>
      <c r="H344" s="2" t="s">
        <v>14</v>
      </c>
      <c r="I344" s="1">
        <v>43154</v>
      </c>
      <c r="J344" t="str">
        <f ca="1">DATEDIF(Table2[[#This Row],[Join_Date]], TODAY(), "Y") &amp; "yrs"</f>
        <v>7yrs</v>
      </c>
      <c r="K344" t="str">
        <f>IF(Table2[[#This Row],[Age]]&lt;=19,"Teen",
   IF(Table2[[#This Row],[Age]]&lt;=35,"Young Adult",
      IF(Table2[[#This Row],[Age]]&lt;=55,"Middle-Age",
         "Old")))</f>
        <v>Middle-Age</v>
      </c>
      <c r="L344" t="str">
        <f>IF(Table2[[#This Row],[Income]]&lt;=30000,"Low",
   IF(Table2[[#This Row],[Income]]&lt;=60000,"Medium",
      IF(Table2[[#This Row],[Income]]&lt;=100000,"High",
         "Premium")))</f>
        <v>Premium</v>
      </c>
    </row>
    <row r="345" spans="1:12" x14ac:dyDescent="0.35">
      <c r="A345" t="s">
        <v>711</v>
      </c>
      <c r="B345" s="2" t="s">
        <v>712</v>
      </c>
      <c r="C345" s="2" t="s">
        <v>17</v>
      </c>
      <c r="D345" s="3">
        <v>36</v>
      </c>
      <c r="E345" s="2" t="s">
        <v>18</v>
      </c>
      <c r="F345" s="2" t="s">
        <v>37</v>
      </c>
      <c r="G345" s="4">
        <v>99148</v>
      </c>
      <c r="H345" s="2" t="s">
        <v>24</v>
      </c>
      <c r="I345" s="1">
        <v>43052</v>
      </c>
      <c r="J345" t="str">
        <f ca="1">DATEDIF(Table2[[#This Row],[Join_Date]], TODAY(), "Y") &amp; "yrs"</f>
        <v>8yrs</v>
      </c>
      <c r="K345" t="str">
        <f>IF(Table2[[#This Row],[Age]]&lt;=19,"Teen",
   IF(Table2[[#This Row],[Age]]&lt;=35,"Young Adult",
      IF(Table2[[#This Row],[Age]]&lt;=55,"Middle-Age",
         "Old")))</f>
        <v>Middle-Age</v>
      </c>
      <c r="L345" t="str">
        <f>IF(Table2[[#This Row],[Income]]&lt;=30000,"Low",
   IF(Table2[[#This Row],[Income]]&lt;=60000,"Medium",
      IF(Table2[[#This Row],[Income]]&lt;=100000,"High",
         "Premium")))</f>
        <v>High</v>
      </c>
    </row>
    <row r="346" spans="1:12" x14ac:dyDescent="0.35">
      <c r="A346" t="s">
        <v>713</v>
      </c>
      <c r="B346" s="2" t="s">
        <v>714</v>
      </c>
      <c r="C346" s="2" t="s">
        <v>11</v>
      </c>
      <c r="D346" s="3">
        <v>61</v>
      </c>
      <c r="E346" s="2" t="s">
        <v>18</v>
      </c>
      <c r="F346" s="2" t="s">
        <v>37</v>
      </c>
      <c r="G346" s="4">
        <v>103186</v>
      </c>
      <c r="H346" s="2" t="s">
        <v>14</v>
      </c>
      <c r="I346" s="1">
        <v>43704</v>
      </c>
      <c r="J346" t="str">
        <f ca="1">DATEDIF(Table2[[#This Row],[Join_Date]], TODAY(), "Y") &amp; "yrs"</f>
        <v>6yrs</v>
      </c>
      <c r="K346" t="str">
        <f>IF(Table2[[#This Row],[Age]]&lt;=19,"Teen",
   IF(Table2[[#This Row],[Age]]&lt;=35,"Young Adult",
      IF(Table2[[#This Row],[Age]]&lt;=55,"Middle-Age",
         "Old")))</f>
        <v>Old</v>
      </c>
      <c r="L346" t="str">
        <f>IF(Table2[[#This Row],[Income]]&lt;=30000,"Low",
   IF(Table2[[#This Row],[Income]]&lt;=60000,"Medium",
      IF(Table2[[#This Row],[Income]]&lt;=100000,"High",
         "Premium")))</f>
        <v>Premium</v>
      </c>
    </row>
    <row r="347" spans="1:12" x14ac:dyDescent="0.35">
      <c r="A347" t="s">
        <v>715</v>
      </c>
      <c r="B347" s="2" t="s">
        <v>716</v>
      </c>
      <c r="C347" s="2" t="s">
        <v>11</v>
      </c>
      <c r="D347" s="3">
        <v>71</v>
      </c>
      <c r="E347" s="2" t="s">
        <v>30</v>
      </c>
      <c r="F347" s="2" t="s">
        <v>37</v>
      </c>
      <c r="G347" s="4">
        <v>177817</v>
      </c>
      <c r="H347" s="2" t="s">
        <v>20</v>
      </c>
      <c r="I347" s="1">
        <v>44709</v>
      </c>
      <c r="J347" t="str">
        <f ca="1">DATEDIF(Table2[[#This Row],[Join_Date]], TODAY(), "Y") &amp; "yrs"</f>
        <v>3yrs</v>
      </c>
      <c r="K347" t="str">
        <f>IF(Table2[[#This Row],[Age]]&lt;=19,"Teen",
   IF(Table2[[#This Row],[Age]]&lt;=35,"Young Adult",
      IF(Table2[[#This Row],[Age]]&lt;=55,"Middle-Age",
         "Old")))</f>
        <v>Old</v>
      </c>
      <c r="L347" t="str">
        <f>IF(Table2[[#This Row],[Income]]&lt;=30000,"Low",
   IF(Table2[[#This Row],[Income]]&lt;=60000,"Medium",
      IF(Table2[[#This Row],[Income]]&lt;=100000,"High",
         "Premium")))</f>
        <v>Premium</v>
      </c>
    </row>
    <row r="348" spans="1:12" x14ac:dyDescent="0.35">
      <c r="A348" t="s">
        <v>717</v>
      </c>
      <c r="B348" s="2" t="s">
        <v>718</v>
      </c>
      <c r="C348" s="2" t="s">
        <v>11</v>
      </c>
      <c r="D348" s="3">
        <v>56</v>
      </c>
      <c r="E348" s="2" t="s">
        <v>34</v>
      </c>
      <c r="F348" s="2" t="s">
        <v>37</v>
      </c>
      <c r="G348" s="4">
        <v>182962</v>
      </c>
      <c r="H348" s="2" t="s">
        <v>20</v>
      </c>
      <c r="I348" s="1">
        <v>45560</v>
      </c>
      <c r="J348" t="str">
        <f ca="1">DATEDIF(Table2[[#This Row],[Join_Date]], TODAY(), "Y") &amp; "yrs"</f>
        <v>1yrs</v>
      </c>
      <c r="K348" t="str">
        <f>IF(Table2[[#This Row],[Age]]&lt;=19,"Teen",
   IF(Table2[[#This Row],[Age]]&lt;=35,"Young Adult",
      IF(Table2[[#This Row],[Age]]&lt;=55,"Middle-Age",
         "Old")))</f>
        <v>Old</v>
      </c>
      <c r="L348" t="str">
        <f>IF(Table2[[#This Row],[Income]]&lt;=30000,"Low",
   IF(Table2[[#This Row],[Income]]&lt;=60000,"Medium",
      IF(Table2[[#This Row],[Income]]&lt;=100000,"High",
         "Premium")))</f>
        <v>Premium</v>
      </c>
    </row>
    <row r="349" spans="1:12" x14ac:dyDescent="0.35">
      <c r="A349" t="s">
        <v>719</v>
      </c>
      <c r="B349" s="2" t="s">
        <v>720</v>
      </c>
      <c r="C349" s="2" t="s">
        <v>17</v>
      </c>
      <c r="D349" s="3">
        <v>44</v>
      </c>
      <c r="E349" s="2" t="s">
        <v>18</v>
      </c>
      <c r="F349" s="2" t="s">
        <v>27</v>
      </c>
      <c r="G349" s="4">
        <v>171094</v>
      </c>
      <c r="H349" s="2" t="s">
        <v>20</v>
      </c>
      <c r="I349" s="1">
        <v>43485</v>
      </c>
      <c r="J349" t="str">
        <f ca="1">DATEDIF(Table2[[#This Row],[Join_Date]], TODAY(), "Y") &amp; "yrs"</f>
        <v>7yrs</v>
      </c>
      <c r="K349" t="str">
        <f>IF(Table2[[#This Row],[Age]]&lt;=19,"Teen",
   IF(Table2[[#This Row],[Age]]&lt;=35,"Young Adult",
      IF(Table2[[#This Row],[Age]]&lt;=55,"Middle-Age",
         "Old")))</f>
        <v>Middle-Age</v>
      </c>
      <c r="L349" t="str">
        <f>IF(Table2[[#This Row],[Income]]&lt;=30000,"Low",
   IF(Table2[[#This Row],[Income]]&lt;=60000,"Medium",
      IF(Table2[[#This Row],[Income]]&lt;=100000,"High",
         "Premium")))</f>
        <v>Premium</v>
      </c>
    </row>
    <row r="350" spans="1:12" x14ac:dyDescent="0.35">
      <c r="A350" t="s">
        <v>721</v>
      </c>
      <c r="B350" s="2" t="s">
        <v>722</v>
      </c>
      <c r="C350" s="2" t="s">
        <v>17</v>
      </c>
      <c r="D350" s="3">
        <v>27</v>
      </c>
      <c r="E350" s="2" t="s">
        <v>18</v>
      </c>
      <c r="F350" s="2" t="s">
        <v>13</v>
      </c>
      <c r="G350" s="4">
        <v>143629</v>
      </c>
      <c r="H350" s="2" t="s">
        <v>20</v>
      </c>
      <c r="I350" s="1">
        <v>45888</v>
      </c>
      <c r="J350" t="str">
        <f ca="1">DATEDIF(Table2[[#This Row],[Join_Date]], TODAY(), "Y") &amp; "yrs"</f>
        <v>0yrs</v>
      </c>
      <c r="K350" t="str">
        <f>IF(Table2[[#This Row],[Age]]&lt;=19,"Teen",
   IF(Table2[[#This Row],[Age]]&lt;=35,"Young Adult",
      IF(Table2[[#This Row],[Age]]&lt;=55,"Middle-Age",
         "Old")))</f>
        <v>Young Adult</v>
      </c>
      <c r="L350" t="str">
        <f>IF(Table2[[#This Row],[Income]]&lt;=30000,"Low",
   IF(Table2[[#This Row],[Income]]&lt;=60000,"Medium",
      IF(Table2[[#This Row],[Income]]&lt;=100000,"High",
         "Premium")))</f>
        <v>Premium</v>
      </c>
    </row>
    <row r="351" spans="1:12" x14ac:dyDescent="0.35">
      <c r="A351" t="s">
        <v>723</v>
      </c>
      <c r="B351" s="2" t="s">
        <v>724</v>
      </c>
      <c r="C351" s="2" t="s">
        <v>11</v>
      </c>
      <c r="D351" s="3">
        <v>43</v>
      </c>
      <c r="E351" s="2" t="s">
        <v>34</v>
      </c>
      <c r="F351" s="2" t="s">
        <v>23</v>
      </c>
      <c r="G351" s="4">
        <v>90316</v>
      </c>
      <c r="H351" s="2" t="s">
        <v>20</v>
      </c>
      <c r="I351" s="1">
        <v>44926</v>
      </c>
      <c r="J351" t="str">
        <f ca="1">DATEDIF(Table2[[#This Row],[Join_Date]], TODAY(), "Y") &amp; "yrs"</f>
        <v>3yrs</v>
      </c>
      <c r="K351" t="str">
        <f>IF(Table2[[#This Row],[Age]]&lt;=19,"Teen",
   IF(Table2[[#This Row],[Age]]&lt;=35,"Young Adult",
      IF(Table2[[#This Row],[Age]]&lt;=55,"Middle-Age",
         "Old")))</f>
        <v>Middle-Age</v>
      </c>
      <c r="L351" t="str">
        <f>IF(Table2[[#This Row],[Income]]&lt;=30000,"Low",
   IF(Table2[[#This Row],[Income]]&lt;=60000,"Medium",
      IF(Table2[[#This Row],[Income]]&lt;=100000,"High",
         "Premium")))</f>
        <v>High</v>
      </c>
    </row>
    <row r="352" spans="1:12" x14ac:dyDescent="0.35">
      <c r="A352" t="s">
        <v>725</v>
      </c>
      <c r="B352" s="2" t="s">
        <v>726</v>
      </c>
      <c r="C352" s="2" t="s">
        <v>17</v>
      </c>
      <c r="D352" s="3">
        <v>36</v>
      </c>
      <c r="E352" s="2" t="s">
        <v>18</v>
      </c>
      <c r="F352" s="2" t="s">
        <v>37</v>
      </c>
      <c r="G352" s="4">
        <v>48380</v>
      </c>
      <c r="H352" s="2" t="s">
        <v>14</v>
      </c>
      <c r="I352" s="1">
        <v>44241</v>
      </c>
      <c r="J352" t="str">
        <f ca="1">DATEDIF(Table2[[#This Row],[Join_Date]], TODAY(), "Y") &amp; "yrs"</f>
        <v>4yrs</v>
      </c>
      <c r="K352" t="str">
        <f>IF(Table2[[#This Row],[Age]]&lt;=19,"Teen",
   IF(Table2[[#This Row],[Age]]&lt;=35,"Young Adult",
      IF(Table2[[#This Row],[Age]]&lt;=55,"Middle-Age",
         "Old")))</f>
        <v>Middle-Age</v>
      </c>
      <c r="L352" t="str">
        <f>IF(Table2[[#This Row],[Income]]&lt;=30000,"Low",
   IF(Table2[[#This Row],[Income]]&lt;=60000,"Medium",
      IF(Table2[[#This Row],[Income]]&lt;=100000,"High",
         "Premium")))</f>
        <v>Medium</v>
      </c>
    </row>
    <row r="353" spans="1:12" x14ac:dyDescent="0.35">
      <c r="A353" t="s">
        <v>727</v>
      </c>
      <c r="B353" s="2" t="s">
        <v>728</v>
      </c>
      <c r="C353" s="2" t="s">
        <v>11</v>
      </c>
      <c r="D353" s="3">
        <v>56</v>
      </c>
      <c r="E353" s="2" t="s">
        <v>12</v>
      </c>
      <c r="F353" s="2" t="s">
        <v>42</v>
      </c>
      <c r="G353" s="4">
        <v>130198</v>
      </c>
      <c r="H353" s="2" t="s">
        <v>14</v>
      </c>
      <c r="I353" s="1">
        <v>43973</v>
      </c>
      <c r="J353" t="str">
        <f ca="1">DATEDIF(Table2[[#This Row],[Join_Date]], TODAY(), "Y") &amp; "yrs"</f>
        <v>5yrs</v>
      </c>
      <c r="K353" t="str">
        <f>IF(Table2[[#This Row],[Age]]&lt;=19,"Teen",
   IF(Table2[[#This Row],[Age]]&lt;=35,"Young Adult",
      IF(Table2[[#This Row],[Age]]&lt;=55,"Middle-Age",
         "Old")))</f>
        <v>Old</v>
      </c>
      <c r="L353" t="str">
        <f>IF(Table2[[#This Row],[Income]]&lt;=30000,"Low",
   IF(Table2[[#This Row],[Income]]&lt;=60000,"Medium",
      IF(Table2[[#This Row],[Income]]&lt;=100000,"High",
         "Premium")))</f>
        <v>Premium</v>
      </c>
    </row>
    <row r="354" spans="1:12" x14ac:dyDescent="0.35">
      <c r="A354" t="s">
        <v>729</v>
      </c>
      <c r="B354" s="2" t="s">
        <v>730</v>
      </c>
      <c r="C354" s="2" t="s">
        <v>11</v>
      </c>
      <c r="D354" s="3">
        <v>20</v>
      </c>
      <c r="E354" s="2" t="s">
        <v>12</v>
      </c>
      <c r="F354" s="2" t="s">
        <v>13</v>
      </c>
      <c r="G354" s="4">
        <v>22356</v>
      </c>
      <c r="H354" s="2" t="s">
        <v>14</v>
      </c>
      <c r="I354" s="1">
        <v>43727</v>
      </c>
      <c r="J354" t="str">
        <f ca="1">DATEDIF(Table2[[#This Row],[Join_Date]], TODAY(), "Y") &amp; "yrs"</f>
        <v>6yrs</v>
      </c>
      <c r="K354" t="str">
        <f>IF(Table2[[#This Row],[Age]]&lt;=19,"Teen",
   IF(Table2[[#This Row],[Age]]&lt;=35,"Young Adult",
      IF(Table2[[#This Row],[Age]]&lt;=55,"Middle-Age",
         "Old")))</f>
        <v>Young Adult</v>
      </c>
      <c r="L354" t="str">
        <f>IF(Table2[[#This Row],[Income]]&lt;=30000,"Low",
   IF(Table2[[#This Row],[Income]]&lt;=60000,"Medium",
      IF(Table2[[#This Row],[Income]]&lt;=100000,"High",
         "Premium")))</f>
        <v>Low</v>
      </c>
    </row>
    <row r="355" spans="1:12" x14ac:dyDescent="0.35">
      <c r="A355" t="s">
        <v>731</v>
      </c>
      <c r="B355" s="2" t="s">
        <v>732</v>
      </c>
      <c r="C355" s="2" t="s">
        <v>17</v>
      </c>
      <c r="D355" s="3">
        <v>62</v>
      </c>
      <c r="E355" s="2" t="s">
        <v>34</v>
      </c>
      <c r="F355" s="2" t="s">
        <v>13</v>
      </c>
      <c r="G355" s="4">
        <v>90326</v>
      </c>
      <c r="H355" s="2" t="s">
        <v>20</v>
      </c>
      <c r="I355" s="1">
        <v>43758</v>
      </c>
      <c r="J355" t="str">
        <f ca="1">DATEDIF(Table2[[#This Row],[Join_Date]], TODAY(), "Y") &amp; "yrs"</f>
        <v>6yrs</v>
      </c>
      <c r="K355" t="str">
        <f>IF(Table2[[#This Row],[Age]]&lt;=19,"Teen",
   IF(Table2[[#This Row],[Age]]&lt;=35,"Young Adult",
      IF(Table2[[#This Row],[Age]]&lt;=55,"Middle-Age",
         "Old")))</f>
        <v>Old</v>
      </c>
      <c r="L355" t="str">
        <f>IF(Table2[[#This Row],[Income]]&lt;=30000,"Low",
   IF(Table2[[#This Row],[Income]]&lt;=60000,"Medium",
      IF(Table2[[#This Row],[Income]]&lt;=100000,"High",
         "Premium")))</f>
        <v>High</v>
      </c>
    </row>
    <row r="356" spans="1:12" x14ac:dyDescent="0.35">
      <c r="A356" t="s">
        <v>733</v>
      </c>
      <c r="B356" s="2" t="s">
        <v>734</v>
      </c>
      <c r="C356" s="2" t="s">
        <v>17</v>
      </c>
      <c r="D356" s="3">
        <v>30</v>
      </c>
      <c r="E356" s="2" t="s">
        <v>30</v>
      </c>
      <c r="F356" s="2" t="s">
        <v>23</v>
      </c>
      <c r="G356" s="4">
        <v>112447</v>
      </c>
      <c r="H356" s="2" t="s">
        <v>14</v>
      </c>
      <c r="I356" s="1">
        <v>43847</v>
      </c>
      <c r="J356" t="str">
        <f ca="1">DATEDIF(Table2[[#This Row],[Join_Date]], TODAY(), "Y") &amp; "yrs"</f>
        <v>6yrs</v>
      </c>
      <c r="K356" t="str">
        <f>IF(Table2[[#This Row],[Age]]&lt;=19,"Teen",
   IF(Table2[[#This Row],[Age]]&lt;=35,"Young Adult",
      IF(Table2[[#This Row],[Age]]&lt;=55,"Middle-Age",
         "Old")))</f>
        <v>Young Adult</v>
      </c>
      <c r="L356" t="str">
        <f>IF(Table2[[#This Row],[Income]]&lt;=30000,"Low",
   IF(Table2[[#This Row],[Income]]&lt;=60000,"Medium",
      IF(Table2[[#This Row],[Income]]&lt;=100000,"High",
         "Premium")))</f>
        <v>Premium</v>
      </c>
    </row>
    <row r="357" spans="1:12" x14ac:dyDescent="0.35">
      <c r="A357" t="s">
        <v>735</v>
      </c>
      <c r="B357" s="2" t="s">
        <v>736</v>
      </c>
      <c r="C357" s="2" t="s">
        <v>11</v>
      </c>
      <c r="D357" s="3">
        <v>67</v>
      </c>
      <c r="E357" s="2" t="s">
        <v>30</v>
      </c>
      <c r="F357" s="2" t="s">
        <v>27</v>
      </c>
      <c r="G357" s="4">
        <v>134994</v>
      </c>
      <c r="H357" s="2" t="s">
        <v>20</v>
      </c>
      <c r="I357" s="1">
        <v>43374</v>
      </c>
      <c r="J357" t="str">
        <f ca="1">DATEDIF(Table2[[#This Row],[Join_Date]], TODAY(), "Y") &amp; "yrs"</f>
        <v>7yrs</v>
      </c>
      <c r="K357" t="str">
        <f>IF(Table2[[#This Row],[Age]]&lt;=19,"Teen",
   IF(Table2[[#This Row],[Age]]&lt;=35,"Young Adult",
      IF(Table2[[#This Row],[Age]]&lt;=55,"Middle-Age",
         "Old")))</f>
        <v>Old</v>
      </c>
      <c r="L357" t="str">
        <f>IF(Table2[[#This Row],[Income]]&lt;=30000,"Low",
   IF(Table2[[#This Row],[Income]]&lt;=60000,"Medium",
      IF(Table2[[#This Row],[Income]]&lt;=100000,"High",
         "Premium")))</f>
        <v>Premium</v>
      </c>
    </row>
    <row r="358" spans="1:12" x14ac:dyDescent="0.35">
      <c r="A358" t="s">
        <v>737</v>
      </c>
      <c r="B358" s="2" t="s">
        <v>738</v>
      </c>
      <c r="C358" s="2" t="s">
        <v>17</v>
      </c>
      <c r="D358" s="3">
        <v>45</v>
      </c>
      <c r="E358" s="2" t="s">
        <v>34</v>
      </c>
      <c r="F358" s="2" t="s">
        <v>19</v>
      </c>
      <c r="G358" s="4">
        <v>40049</v>
      </c>
      <c r="H358" s="2" t="s">
        <v>14</v>
      </c>
      <c r="I358" s="1">
        <v>44190</v>
      </c>
      <c r="J358" t="str">
        <f ca="1">DATEDIF(Table2[[#This Row],[Join_Date]], TODAY(), "Y") &amp; "yrs"</f>
        <v>5yrs</v>
      </c>
      <c r="K358" t="str">
        <f>IF(Table2[[#This Row],[Age]]&lt;=19,"Teen",
   IF(Table2[[#This Row],[Age]]&lt;=35,"Young Adult",
      IF(Table2[[#This Row],[Age]]&lt;=55,"Middle-Age",
         "Old")))</f>
        <v>Middle-Age</v>
      </c>
      <c r="L358" t="str">
        <f>IF(Table2[[#This Row],[Income]]&lt;=30000,"Low",
   IF(Table2[[#This Row],[Income]]&lt;=60000,"Medium",
      IF(Table2[[#This Row],[Income]]&lt;=100000,"High",
         "Premium")))</f>
        <v>Medium</v>
      </c>
    </row>
    <row r="359" spans="1:12" x14ac:dyDescent="0.35">
      <c r="A359" t="s">
        <v>739</v>
      </c>
      <c r="B359" s="2" t="s">
        <v>740</v>
      </c>
      <c r="C359" s="2" t="s">
        <v>17</v>
      </c>
      <c r="D359" s="3">
        <v>37</v>
      </c>
      <c r="E359" s="2" t="s">
        <v>34</v>
      </c>
      <c r="F359" s="2" t="s">
        <v>19</v>
      </c>
      <c r="G359" s="4">
        <v>125361</v>
      </c>
      <c r="H359" s="2" t="s">
        <v>14</v>
      </c>
      <c r="I359" s="1">
        <v>44342</v>
      </c>
      <c r="J359" t="str">
        <f ca="1">DATEDIF(Table2[[#This Row],[Join_Date]], TODAY(), "Y") &amp; "yrs"</f>
        <v>4yrs</v>
      </c>
      <c r="K359" t="str">
        <f>IF(Table2[[#This Row],[Age]]&lt;=19,"Teen",
   IF(Table2[[#This Row],[Age]]&lt;=35,"Young Adult",
      IF(Table2[[#This Row],[Age]]&lt;=55,"Middle-Age",
         "Old")))</f>
        <v>Middle-Age</v>
      </c>
      <c r="L359" t="str">
        <f>IF(Table2[[#This Row],[Income]]&lt;=30000,"Low",
   IF(Table2[[#This Row],[Income]]&lt;=60000,"Medium",
      IF(Table2[[#This Row],[Income]]&lt;=100000,"High",
         "Premium")))</f>
        <v>Premium</v>
      </c>
    </row>
    <row r="360" spans="1:12" x14ac:dyDescent="0.35">
      <c r="A360" t="s">
        <v>741</v>
      </c>
      <c r="B360" s="2" t="s">
        <v>742</v>
      </c>
      <c r="C360" s="2" t="s">
        <v>11</v>
      </c>
      <c r="D360" s="3">
        <v>45</v>
      </c>
      <c r="E360" s="2" t="s">
        <v>12</v>
      </c>
      <c r="F360" s="2" t="s">
        <v>13</v>
      </c>
      <c r="G360" s="4">
        <v>36082</v>
      </c>
      <c r="H360" s="2" t="s">
        <v>20</v>
      </c>
      <c r="I360" s="1">
        <v>44954</v>
      </c>
      <c r="J360" t="str">
        <f ca="1">DATEDIF(Table2[[#This Row],[Join_Date]], TODAY(), "Y") &amp; "yrs"</f>
        <v>2yrs</v>
      </c>
      <c r="K360" t="str">
        <f>IF(Table2[[#This Row],[Age]]&lt;=19,"Teen",
   IF(Table2[[#This Row],[Age]]&lt;=35,"Young Adult",
      IF(Table2[[#This Row],[Age]]&lt;=55,"Middle-Age",
         "Old")))</f>
        <v>Middle-Age</v>
      </c>
      <c r="L360" t="str">
        <f>IF(Table2[[#This Row],[Income]]&lt;=30000,"Low",
   IF(Table2[[#This Row],[Income]]&lt;=60000,"Medium",
      IF(Table2[[#This Row],[Income]]&lt;=100000,"High",
         "Premium")))</f>
        <v>Medium</v>
      </c>
    </row>
    <row r="361" spans="1:12" x14ac:dyDescent="0.35">
      <c r="A361" t="s">
        <v>743</v>
      </c>
      <c r="B361" s="2" t="s">
        <v>744</v>
      </c>
      <c r="C361" s="2" t="s">
        <v>11</v>
      </c>
      <c r="D361" s="3">
        <v>25</v>
      </c>
      <c r="E361" s="2" t="s">
        <v>30</v>
      </c>
      <c r="F361" s="2" t="s">
        <v>31</v>
      </c>
      <c r="G361" s="4">
        <v>20661</v>
      </c>
      <c r="H361" s="2" t="s">
        <v>14</v>
      </c>
      <c r="I361" s="1">
        <v>44819</v>
      </c>
      <c r="J361" t="str">
        <f ca="1">DATEDIF(Table2[[#This Row],[Join_Date]], TODAY(), "Y") &amp; "yrs"</f>
        <v>3yrs</v>
      </c>
      <c r="K361" t="str">
        <f>IF(Table2[[#This Row],[Age]]&lt;=19,"Teen",
   IF(Table2[[#This Row],[Age]]&lt;=35,"Young Adult",
      IF(Table2[[#This Row],[Age]]&lt;=55,"Middle-Age",
         "Old")))</f>
        <v>Young Adult</v>
      </c>
      <c r="L361" t="str">
        <f>IF(Table2[[#This Row],[Income]]&lt;=30000,"Low",
   IF(Table2[[#This Row],[Income]]&lt;=60000,"Medium",
      IF(Table2[[#This Row],[Income]]&lt;=100000,"High",
         "Premium")))</f>
        <v>Low</v>
      </c>
    </row>
    <row r="362" spans="1:12" x14ac:dyDescent="0.35">
      <c r="A362" t="s">
        <v>745</v>
      </c>
      <c r="B362" s="2" t="s">
        <v>746</v>
      </c>
      <c r="C362" s="2" t="s">
        <v>17</v>
      </c>
      <c r="D362" s="3">
        <v>58</v>
      </c>
      <c r="E362" s="2" t="s">
        <v>18</v>
      </c>
      <c r="F362" s="2" t="s">
        <v>31</v>
      </c>
      <c r="G362" s="4">
        <v>188484</v>
      </c>
      <c r="H362" s="2" t="s">
        <v>14</v>
      </c>
      <c r="I362" s="1">
        <v>45392</v>
      </c>
      <c r="J362" t="str">
        <f ca="1">DATEDIF(Table2[[#This Row],[Join_Date]], TODAY(), "Y") &amp; "yrs"</f>
        <v>1yrs</v>
      </c>
      <c r="K362" t="str">
        <f>IF(Table2[[#This Row],[Age]]&lt;=19,"Teen",
   IF(Table2[[#This Row],[Age]]&lt;=35,"Young Adult",
      IF(Table2[[#This Row],[Age]]&lt;=55,"Middle-Age",
         "Old")))</f>
        <v>Old</v>
      </c>
      <c r="L362" t="str">
        <f>IF(Table2[[#This Row],[Income]]&lt;=30000,"Low",
   IF(Table2[[#This Row],[Income]]&lt;=60000,"Medium",
      IF(Table2[[#This Row],[Income]]&lt;=100000,"High",
         "Premium")))</f>
        <v>Premium</v>
      </c>
    </row>
    <row r="363" spans="1:12" x14ac:dyDescent="0.35">
      <c r="A363" t="s">
        <v>747</v>
      </c>
      <c r="B363" s="2" t="s">
        <v>748</v>
      </c>
      <c r="C363" s="2" t="s">
        <v>11</v>
      </c>
      <c r="D363" s="3">
        <v>56</v>
      </c>
      <c r="E363" s="2" t="s">
        <v>12</v>
      </c>
      <c r="F363" s="2" t="s">
        <v>23</v>
      </c>
      <c r="G363" s="4">
        <v>22920</v>
      </c>
      <c r="H363" s="2" t="s">
        <v>14</v>
      </c>
      <c r="I363" s="1">
        <v>42295</v>
      </c>
      <c r="J363" t="str">
        <f ca="1">DATEDIF(Table2[[#This Row],[Join_Date]], TODAY(), "Y") &amp; "yrs"</f>
        <v>10yrs</v>
      </c>
      <c r="K363" t="str">
        <f>IF(Table2[[#This Row],[Age]]&lt;=19,"Teen",
   IF(Table2[[#This Row],[Age]]&lt;=35,"Young Adult",
      IF(Table2[[#This Row],[Age]]&lt;=55,"Middle-Age",
         "Old")))</f>
        <v>Old</v>
      </c>
      <c r="L363" t="str">
        <f>IF(Table2[[#This Row],[Income]]&lt;=30000,"Low",
   IF(Table2[[#This Row],[Income]]&lt;=60000,"Medium",
      IF(Table2[[#This Row],[Income]]&lt;=100000,"High",
         "Premium")))</f>
        <v>Low</v>
      </c>
    </row>
    <row r="364" spans="1:12" x14ac:dyDescent="0.35">
      <c r="A364" t="s">
        <v>749</v>
      </c>
      <c r="B364" s="2" t="s">
        <v>750</v>
      </c>
      <c r="C364" s="2" t="s">
        <v>11</v>
      </c>
      <c r="D364" s="3">
        <v>18</v>
      </c>
      <c r="E364" s="2" t="s">
        <v>34</v>
      </c>
      <c r="F364" s="2" t="s">
        <v>19</v>
      </c>
      <c r="G364" s="4">
        <v>99561</v>
      </c>
      <c r="H364" s="2" t="s">
        <v>24</v>
      </c>
      <c r="I364" s="1">
        <v>42581</v>
      </c>
      <c r="J364" t="str">
        <f ca="1">DATEDIF(Table2[[#This Row],[Join_Date]], TODAY(), "Y") &amp; "yrs"</f>
        <v>9yrs</v>
      </c>
      <c r="K364" t="str">
        <f>IF(Table2[[#This Row],[Age]]&lt;=19,"Teen",
   IF(Table2[[#This Row],[Age]]&lt;=35,"Young Adult",
      IF(Table2[[#This Row],[Age]]&lt;=55,"Middle-Age",
         "Old")))</f>
        <v>Teen</v>
      </c>
      <c r="L364" t="str">
        <f>IF(Table2[[#This Row],[Income]]&lt;=30000,"Low",
   IF(Table2[[#This Row],[Income]]&lt;=60000,"Medium",
      IF(Table2[[#This Row],[Income]]&lt;=100000,"High",
         "Premium")))</f>
        <v>High</v>
      </c>
    </row>
    <row r="365" spans="1:12" x14ac:dyDescent="0.35">
      <c r="A365" t="s">
        <v>751</v>
      </c>
      <c r="B365" s="2" t="s">
        <v>752</v>
      </c>
      <c r="C365" s="2" t="s">
        <v>17</v>
      </c>
      <c r="D365" s="3">
        <v>20</v>
      </c>
      <c r="E365" s="2" t="s">
        <v>30</v>
      </c>
      <c r="F365" s="2" t="s">
        <v>13</v>
      </c>
      <c r="G365" s="4">
        <v>28946</v>
      </c>
      <c r="H365" s="2" t="s">
        <v>20</v>
      </c>
      <c r="I365" s="1">
        <v>42442</v>
      </c>
      <c r="J365" t="str">
        <f ca="1">DATEDIF(Table2[[#This Row],[Join_Date]], TODAY(), "Y") &amp; "yrs"</f>
        <v>9yrs</v>
      </c>
      <c r="K365" t="str">
        <f>IF(Table2[[#This Row],[Age]]&lt;=19,"Teen",
   IF(Table2[[#This Row],[Age]]&lt;=35,"Young Adult",
      IF(Table2[[#This Row],[Age]]&lt;=55,"Middle-Age",
         "Old")))</f>
        <v>Young Adult</v>
      </c>
      <c r="L365" t="str">
        <f>IF(Table2[[#This Row],[Income]]&lt;=30000,"Low",
   IF(Table2[[#This Row],[Income]]&lt;=60000,"Medium",
      IF(Table2[[#This Row],[Income]]&lt;=100000,"High",
         "Premium")))</f>
        <v>Low</v>
      </c>
    </row>
    <row r="366" spans="1:12" x14ac:dyDescent="0.35">
      <c r="A366" t="s">
        <v>753</v>
      </c>
      <c r="B366" s="2" t="s">
        <v>754</v>
      </c>
      <c r="C366" s="2" t="s">
        <v>11</v>
      </c>
      <c r="D366" s="3">
        <v>30</v>
      </c>
      <c r="E366" s="2" t="s">
        <v>18</v>
      </c>
      <c r="F366" s="2" t="s">
        <v>27</v>
      </c>
      <c r="G366" s="4">
        <v>196572</v>
      </c>
      <c r="H366" s="2" t="s">
        <v>14</v>
      </c>
      <c r="I366" s="1">
        <v>45607</v>
      </c>
      <c r="J366" t="str">
        <f ca="1">DATEDIF(Table2[[#This Row],[Join_Date]], TODAY(), "Y") &amp; "yrs"</f>
        <v>1yrs</v>
      </c>
      <c r="K366" t="str">
        <f>IF(Table2[[#This Row],[Age]]&lt;=19,"Teen",
   IF(Table2[[#This Row],[Age]]&lt;=35,"Young Adult",
      IF(Table2[[#This Row],[Age]]&lt;=55,"Middle-Age",
         "Old")))</f>
        <v>Young Adult</v>
      </c>
      <c r="L366" t="str">
        <f>IF(Table2[[#This Row],[Income]]&lt;=30000,"Low",
   IF(Table2[[#This Row],[Income]]&lt;=60000,"Medium",
      IF(Table2[[#This Row],[Income]]&lt;=100000,"High",
         "Premium")))</f>
        <v>Premium</v>
      </c>
    </row>
    <row r="367" spans="1:12" x14ac:dyDescent="0.35">
      <c r="A367" t="s">
        <v>755</v>
      </c>
      <c r="B367" s="2" t="s">
        <v>756</v>
      </c>
      <c r="C367" s="2" t="s">
        <v>11</v>
      </c>
      <c r="D367" s="3">
        <v>45</v>
      </c>
      <c r="E367" s="2" t="s">
        <v>18</v>
      </c>
      <c r="F367" s="2" t="s">
        <v>19</v>
      </c>
      <c r="G367" s="4">
        <v>36309</v>
      </c>
      <c r="H367" s="2" t="s">
        <v>14</v>
      </c>
      <c r="I367" s="1">
        <v>43773</v>
      </c>
      <c r="J367" t="str">
        <f ca="1">DATEDIF(Table2[[#This Row],[Join_Date]], TODAY(), "Y") &amp; "yrs"</f>
        <v>6yrs</v>
      </c>
      <c r="K367" t="str">
        <f>IF(Table2[[#This Row],[Age]]&lt;=19,"Teen",
   IF(Table2[[#This Row],[Age]]&lt;=35,"Young Adult",
      IF(Table2[[#This Row],[Age]]&lt;=55,"Middle-Age",
         "Old")))</f>
        <v>Middle-Age</v>
      </c>
      <c r="L367" t="str">
        <f>IF(Table2[[#This Row],[Income]]&lt;=30000,"Low",
   IF(Table2[[#This Row],[Income]]&lt;=60000,"Medium",
      IF(Table2[[#This Row],[Income]]&lt;=100000,"High",
         "Premium")))</f>
        <v>Medium</v>
      </c>
    </row>
    <row r="368" spans="1:12" x14ac:dyDescent="0.35">
      <c r="A368" t="s">
        <v>757</v>
      </c>
      <c r="B368" s="2" t="s">
        <v>758</v>
      </c>
      <c r="C368" s="2" t="s">
        <v>17</v>
      </c>
      <c r="D368" s="3">
        <v>74</v>
      </c>
      <c r="E368" s="2" t="s">
        <v>12</v>
      </c>
      <c r="F368" s="2" t="s">
        <v>13</v>
      </c>
      <c r="G368" s="4">
        <v>75230</v>
      </c>
      <c r="H368" s="2" t="s">
        <v>14</v>
      </c>
      <c r="I368" s="1">
        <v>43795</v>
      </c>
      <c r="J368" t="str">
        <f ca="1">DATEDIF(Table2[[#This Row],[Join_Date]], TODAY(), "Y") &amp; "yrs"</f>
        <v>6yrs</v>
      </c>
      <c r="K368" t="str">
        <f>IF(Table2[[#This Row],[Age]]&lt;=19,"Teen",
   IF(Table2[[#This Row],[Age]]&lt;=35,"Young Adult",
      IF(Table2[[#This Row],[Age]]&lt;=55,"Middle-Age",
         "Old")))</f>
        <v>Old</v>
      </c>
      <c r="L368" t="str">
        <f>IF(Table2[[#This Row],[Income]]&lt;=30000,"Low",
   IF(Table2[[#This Row],[Income]]&lt;=60000,"Medium",
      IF(Table2[[#This Row],[Income]]&lt;=100000,"High",
         "Premium")))</f>
        <v>High</v>
      </c>
    </row>
    <row r="369" spans="1:12" x14ac:dyDescent="0.35">
      <c r="A369" t="s">
        <v>759</v>
      </c>
      <c r="B369" s="2" t="s">
        <v>760</v>
      </c>
      <c r="C369" s="2" t="s">
        <v>17</v>
      </c>
      <c r="D369" s="3">
        <v>66</v>
      </c>
      <c r="E369" s="2" t="s">
        <v>30</v>
      </c>
      <c r="F369" s="2" t="s">
        <v>13</v>
      </c>
      <c r="G369" s="4">
        <v>131822</v>
      </c>
      <c r="H369" s="2" t="s">
        <v>20</v>
      </c>
      <c r="I369" s="1">
        <v>43811</v>
      </c>
      <c r="J369" t="str">
        <f ca="1">DATEDIF(Table2[[#This Row],[Join_Date]], TODAY(), "Y") &amp; "yrs"</f>
        <v>6yrs</v>
      </c>
      <c r="K369" t="str">
        <f>IF(Table2[[#This Row],[Age]]&lt;=19,"Teen",
   IF(Table2[[#This Row],[Age]]&lt;=35,"Young Adult",
      IF(Table2[[#This Row],[Age]]&lt;=55,"Middle-Age",
         "Old")))</f>
        <v>Old</v>
      </c>
      <c r="L369" t="str">
        <f>IF(Table2[[#This Row],[Income]]&lt;=30000,"Low",
   IF(Table2[[#This Row],[Income]]&lt;=60000,"Medium",
      IF(Table2[[#This Row],[Income]]&lt;=100000,"High",
         "Premium")))</f>
        <v>Premium</v>
      </c>
    </row>
    <row r="370" spans="1:12" x14ac:dyDescent="0.35">
      <c r="A370" t="s">
        <v>761</v>
      </c>
      <c r="B370" s="2" t="s">
        <v>762</v>
      </c>
      <c r="C370" s="2" t="s">
        <v>11</v>
      </c>
      <c r="D370" s="3">
        <v>42</v>
      </c>
      <c r="E370" s="2" t="s">
        <v>30</v>
      </c>
      <c r="F370" s="2" t="s">
        <v>37</v>
      </c>
      <c r="G370" s="4">
        <v>181099</v>
      </c>
      <c r="H370" s="2" t="s">
        <v>20</v>
      </c>
      <c r="I370" s="1">
        <v>44954</v>
      </c>
      <c r="J370" t="str">
        <f ca="1">DATEDIF(Table2[[#This Row],[Join_Date]], TODAY(), "Y") &amp; "yrs"</f>
        <v>2yrs</v>
      </c>
      <c r="K370" t="str">
        <f>IF(Table2[[#This Row],[Age]]&lt;=19,"Teen",
   IF(Table2[[#This Row],[Age]]&lt;=35,"Young Adult",
      IF(Table2[[#This Row],[Age]]&lt;=55,"Middle-Age",
         "Old")))</f>
        <v>Middle-Age</v>
      </c>
      <c r="L370" t="str">
        <f>IF(Table2[[#This Row],[Income]]&lt;=30000,"Low",
   IF(Table2[[#This Row],[Income]]&lt;=60000,"Medium",
      IF(Table2[[#This Row],[Income]]&lt;=100000,"High",
         "Premium")))</f>
        <v>Premium</v>
      </c>
    </row>
    <row r="371" spans="1:12" x14ac:dyDescent="0.35">
      <c r="A371" t="s">
        <v>763</v>
      </c>
      <c r="B371" s="2" t="s">
        <v>764</v>
      </c>
      <c r="C371" s="2" t="s">
        <v>11</v>
      </c>
      <c r="D371" s="3">
        <v>73</v>
      </c>
      <c r="E371" s="2" t="s">
        <v>34</v>
      </c>
      <c r="F371" s="2" t="s">
        <v>27</v>
      </c>
      <c r="G371" s="4">
        <v>132340</v>
      </c>
      <c r="H371" s="2" t="s">
        <v>14</v>
      </c>
      <c r="I371" s="1">
        <v>42545</v>
      </c>
      <c r="J371" t="str">
        <f ca="1">DATEDIF(Table2[[#This Row],[Join_Date]], TODAY(), "Y") &amp; "yrs"</f>
        <v>9yrs</v>
      </c>
      <c r="K371" t="str">
        <f>IF(Table2[[#This Row],[Age]]&lt;=19,"Teen",
   IF(Table2[[#This Row],[Age]]&lt;=35,"Young Adult",
      IF(Table2[[#This Row],[Age]]&lt;=55,"Middle-Age",
         "Old")))</f>
        <v>Old</v>
      </c>
      <c r="L371" t="str">
        <f>IF(Table2[[#This Row],[Income]]&lt;=30000,"Low",
   IF(Table2[[#This Row],[Income]]&lt;=60000,"Medium",
      IF(Table2[[#This Row],[Income]]&lt;=100000,"High",
         "Premium")))</f>
        <v>Premium</v>
      </c>
    </row>
    <row r="372" spans="1:12" x14ac:dyDescent="0.35">
      <c r="A372" t="s">
        <v>765</v>
      </c>
      <c r="B372" s="2" t="s">
        <v>766</v>
      </c>
      <c r="C372" s="2" t="s">
        <v>17</v>
      </c>
      <c r="D372" s="3">
        <v>50</v>
      </c>
      <c r="E372" s="2" t="s">
        <v>30</v>
      </c>
      <c r="F372" s="2" t="s">
        <v>37</v>
      </c>
      <c r="G372" s="4">
        <v>79321</v>
      </c>
      <c r="H372" s="2" t="s">
        <v>14</v>
      </c>
      <c r="I372" s="1">
        <v>43047</v>
      </c>
      <c r="J372" t="str">
        <f ca="1">DATEDIF(Table2[[#This Row],[Join_Date]], TODAY(), "Y") &amp; "yrs"</f>
        <v>8yrs</v>
      </c>
      <c r="K372" t="str">
        <f>IF(Table2[[#This Row],[Age]]&lt;=19,"Teen",
   IF(Table2[[#This Row],[Age]]&lt;=35,"Young Adult",
      IF(Table2[[#This Row],[Age]]&lt;=55,"Middle-Age",
         "Old")))</f>
        <v>Middle-Age</v>
      </c>
      <c r="L372" t="str">
        <f>IF(Table2[[#This Row],[Income]]&lt;=30000,"Low",
   IF(Table2[[#This Row],[Income]]&lt;=60000,"Medium",
      IF(Table2[[#This Row],[Income]]&lt;=100000,"High",
         "Premium")))</f>
        <v>High</v>
      </c>
    </row>
    <row r="373" spans="1:12" x14ac:dyDescent="0.35">
      <c r="A373" t="s">
        <v>767</v>
      </c>
      <c r="B373" s="2" t="s">
        <v>768</v>
      </c>
      <c r="C373" s="2" t="s">
        <v>17</v>
      </c>
      <c r="D373" s="3">
        <v>55</v>
      </c>
      <c r="E373" s="2" t="s">
        <v>30</v>
      </c>
      <c r="F373" s="2" t="s">
        <v>23</v>
      </c>
      <c r="G373" s="4">
        <v>152028</v>
      </c>
      <c r="H373" s="2" t="s">
        <v>14</v>
      </c>
      <c r="I373" s="1">
        <v>44745</v>
      </c>
      <c r="J373" t="str">
        <f ca="1">DATEDIF(Table2[[#This Row],[Join_Date]], TODAY(), "Y") &amp; "yrs"</f>
        <v>3yrs</v>
      </c>
      <c r="K373" t="str">
        <f>IF(Table2[[#This Row],[Age]]&lt;=19,"Teen",
   IF(Table2[[#This Row],[Age]]&lt;=35,"Young Adult",
      IF(Table2[[#This Row],[Age]]&lt;=55,"Middle-Age",
         "Old")))</f>
        <v>Middle-Age</v>
      </c>
      <c r="L373" t="str">
        <f>IF(Table2[[#This Row],[Income]]&lt;=30000,"Low",
   IF(Table2[[#This Row],[Income]]&lt;=60000,"Medium",
      IF(Table2[[#This Row],[Income]]&lt;=100000,"High",
         "Premium")))</f>
        <v>Premium</v>
      </c>
    </row>
    <row r="374" spans="1:12" x14ac:dyDescent="0.35">
      <c r="A374" t="s">
        <v>769</v>
      </c>
      <c r="B374" s="2" t="s">
        <v>770</v>
      </c>
      <c r="C374" s="2" t="s">
        <v>17</v>
      </c>
      <c r="D374" s="3">
        <v>70</v>
      </c>
      <c r="E374" s="2" t="s">
        <v>12</v>
      </c>
      <c r="F374" s="2" t="s">
        <v>37</v>
      </c>
      <c r="G374" s="4">
        <v>94131</v>
      </c>
      <c r="H374" s="2" t="s">
        <v>20</v>
      </c>
      <c r="I374" s="1">
        <v>45501</v>
      </c>
      <c r="J374" t="str">
        <f ca="1">DATEDIF(Table2[[#This Row],[Join_Date]], TODAY(), "Y") &amp; "yrs"</f>
        <v>1yrs</v>
      </c>
      <c r="K374" t="str">
        <f>IF(Table2[[#This Row],[Age]]&lt;=19,"Teen",
   IF(Table2[[#This Row],[Age]]&lt;=35,"Young Adult",
      IF(Table2[[#This Row],[Age]]&lt;=55,"Middle-Age",
         "Old")))</f>
        <v>Old</v>
      </c>
      <c r="L374" t="str">
        <f>IF(Table2[[#This Row],[Income]]&lt;=30000,"Low",
   IF(Table2[[#This Row],[Income]]&lt;=60000,"Medium",
      IF(Table2[[#This Row],[Income]]&lt;=100000,"High",
         "Premium")))</f>
        <v>High</v>
      </c>
    </row>
    <row r="375" spans="1:12" x14ac:dyDescent="0.35">
      <c r="A375" t="s">
        <v>771</v>
      </c>
      <c r="B375" s="2" t="s">
        <v>772</v>
      </c>
      <c r="C375" s="2" t="s">
        <v>17</v>
      </c>
      <c r="D375" s="3">
        <v>23</v>
      </c>
      <c r="E375" s="2" t="s">
        <v>30</v>
      </c>
      <c r="F375" s="2" t="s">
        <v>42</v>
      </c>
      <c r="G375" s="4">
        <v>198980</v>
      </c>
      <c r="H375" s="2" t="s">
        <v>20</v>
      </c>
      <c r="I375" s="1">
        <v>43750</v>
      </c>
      <c r="J375" t="str">
        <f ca="1">DATEDIF(Table2[[#This Row],[Join_Date]], TODAY(), "Y") &amp; "yrs"</f>
        <v>6yrs</v>
      </c>
      <c r="K375" t="str">
        <f>IF(Table2[[#This Row],[Age]]&lt;=19,"Teen",
   IF(Table2[[#This Row],[Age]]&lt;=35,"Young Adult",
      IF(Table2[[#This Row],[Age]]&lt;=55,"Middle-Age",
         "Old")))</f>
        <v>Young Adult</v>
      </c>
      <c r="L375" t="str">
        <f>IF(Table2[[#This Row],[Income]]&lt;=30000,"Low",
   IF(Table2[[#This Row],[Income]]&lt;=60000,"Medium",
      IF(Table2[[#This Row],[Income]]&lt;=100000,"High",
         "Premium")))</f>
        <v>Premium</v>
      </c>
    </row>
    <row r="376" spans="1:12" x14ac:dyDescent="0.35">
      <c r="A376" t="s">
        <v>773</v>
      </c>
      <c r="B376" s="2" t="s">
        <v>774</v>
      </c>
      <c r="C376" s="2" t="s">
        <v>11</v>
      </c>
      <c r="D376" s="3">
        <v>61</v>
      </c>
      <c r="E376" s="2" t="s">
        <v>18</v>
      </c>
      <c r="F376" s="2" t="s">
        <v>37</v>
      </c>
      <c r="G376" s="4">
        <v>45963</v>
      </c>
      <c r="H376" s="2" t="s">
        <v>14</v>
      </c>
      <c r="I376" s="1">
        <v>44798</v>
      </c>
      <c r="J376" t="str">
        <f ca="1">DATEDIF(Table2[[#This Row],[Join_Date]], TODAY(), "Y") &amp; "yrs"</f>
        <v>3yrs</v>
      </c>
      <c r="K376" t="str">
        <f>IF(Table2[[#This Row],[Age]]&lt;=19,"Teen",
   IF(Table2[[#This Row],[Age]]&lt;=35,"Young Adult",
      IF(Table2[[#This Row],[Age]]&lt;=55,"Middle-Age",
         "Old")))</f>
        <v>Old</v>
      </c>
      <c r="L376" t="str">
        <f>IF(Table2[[#This Row],[Income]]&lt;=30000,"Low",
   IF(Table2[[#This Row],[Income]]&lt;=60000,"Medium",
      IF(Table2[[#This Row],[Income]]&lt;=100000,"High",
         "Premium")))</f>
        <v>Medium</v>
      </c>
    </row>
    <row r="377" spans="1:12" x14ac:dyDescent="0.35">
      <c r="A377" t="s">
        <v>775</v>
      </c>
      <c r="B377" s="2" t="s">
        <v>776</v>
      </c>
      <c r="C377" s="2" t="s">
        <v>17</v>
      </c>
      <c r="D377" s="3">
        <v>62</v>
      </c>
      <c r="E377" s="2" t="s">
        <v>12</v>
      </c>
      <c r="F377" s="2" t="s">
        <v>42</v>
      </c>
      <c r="G377" s="4">
        <v>121757</v>
      </c>
      <c r="H377" s="2" t="s">
        <v>14</v>
      </c>
      <c r="I377" s="1">
        <v>42284</v>
      </c>
      <c r="J377" t="str">
        <f ca="1">DATEDIF(Table2[[#This Row],[Join_Date]], TODAY(), "Y") &amp; "yrs"</f>
        <v>10yrs</v>
      </c>
      <c r="K377" t="str">
        <f>IF(Table2[[#This Row],[Age]]&lt;=19,"Teen",
   IF(Table2[[#This Row],[Age]]&lt;=35,"Young Adult",
      IF(Table2[[#This Row],[Age]]&lt;=55,"Middle-Age",
         "Old")))</f>
        <v>Old</v>
      </c>
      <c r="L377" t="str">
        <f>IF(Table2[[#This Row],[Income]]&lt;=30000,"Low",
   IF(Table2[[#This Row],[Income]]&lt;=60000,"Medium",
      IF(Table2[[#This Row],[Income]]&lt;=100000,"High",
         "Premium")))</f>
        <v>Premium</v>
      </c>
    </row>
    <row r="378" spans="1:12" x14ac:dyDescent="0.35">
      <c r="A378" t="s">
        <v>777</v>
      </c>
      <c r="B378" s="2" t="s">
        <v>778</v>
      </c>
      <c r="C378" s="2" t="s">
        <v>17</v>
      </c>
      <c r="D378" s="3">
        <v>49</v>
      </c>
      <c r="E378" s="2" t="s">
        <v>12</v>
      </c>
      <c r="F378" s="2" t="s">
        <v>19</v>
      </c>
      <c r="G378" s="4">
        <v>190515</v>
      </c>
      <c r="H378" s="2" t="s">
        <v>14</v>
      </c>
      <c r="I378" s="1">
        <v>44918</v>
      </c>
      <c r="J378" t="str">
        <f ca="1">DATEDIF(Table2[[#This Row],[Join_Date]], TODAY(), "Y") &amp; "yrs"</f>
        <v>3yrs</v>
      </c>
      <c r="K378" t="str">
        <f>IF(Table2[[#This Row],[Age]]&lt;=19,"Teen",
   IF(Table2[[#This Row],[Age]]&lt;=35,"Young Adult",
      IF(Table2[[#This Row],[Age]]&lt;=55,"Middle-Age",
         "Old")))</f>
        <v>Middle-Age</v>
      </c>
      <c r="L378" t="str">
        <f>IF(Table2[[#This Row],[Income]]&lt;=30000,"Low",
   IF(Table2[[#This Row],[Income]]&lt;=60000,"Medium",
      IF(Table2[[#This Row],[Income]]&lt;=100000,"High",
         "Premium")))</f>
        <v>Premium</v>
      </c>
    </row>
    <row r="379" spans="1:12" x14ac:dyDescent="0.35">
      <c r="A379" t="s">
        <v>779</v>
      </c>
      <c r="B379" s="2" t="s">
        <v>780</v>
      </c>
      <c r="C379" s="2" t="s">
        <v>11</v>
      </c>
      <c r="D379" s="3">
        <v>62</v>
      </c>
      <c r="E379" s="2" t="s">
        <v>34</v>
      </c>
      <c r="F379" s="2" t="s">
        <v>31</v>
      </c>
      <c r="G379" s="4">
        <v>119259</v>
      </c>
      <c r="H379" s="2" t="s">
        <v>24</v>
      </c>
      <c r="I379" s="1">
        <v>42731</v>
      </c>
      <c r="J379" t="str">
        <f ca="1">DATEDIF(Table2[[#This Row],[Join_Date]], TODAY(), "Y") &amp; "yrs"</f>
        <v>9yrs</v>
      </c>
      <c r="K379" t="str">
        <f>IF(Table2[[#This Row],[Age]]&lt;=19,"Teen",
   IF(Table2[[#This Row],[Age]]&lt;=35,"Young Adult",
      IF(Table2[[#This Row],[Age]]&lt;=55,"Middle-Age",
         "Old")))</f>
        <v>Old</v>
      </c>
      <c r="L379" t="str">
        <f>IF(Table2[[#This Row],[Income]]&lt;=30000,"Low",
   IF(Table2[[#This Row],[Income]]&lt;=60000,"Medium",
      IF(Table2[[#This Row],[Income]]&lt;=100000,"High",
         "Premium")))</f>
        <v>Premium</v>
      </c>
    </row>
    <row r="380" spans="1:12" x14ac:dyDescent="0.35">
      <c r="A380" t="s">
        <v>781</v>
      </c>
      <c r="B380" s="2" t="s">
        <v>782</v>
      </c>
      <c r="C380" s="2" t="s">
        <v>17</v>
      </c>
      <c r="D380" s="3">
        <v>64</v>
      </c>
      <c r="E380" s="2" t="s">
        <v>30</v>
      </c>
      <c r="F380" s="2" t="s">
        <v>13</v>
      </c>
      <c r="G380" s="4">
        <v>59063</v>
      </c>
      <c r="H380" s="2" t="s">
        <v>14</v>
      </c>
      <c r="I380" s="1">
        <v>44972</v>
      </c>
      <c r="J380" t="str">
        <f ca="1">DATEDIF(Table2[[#This Row],[Join_Date]], TODAY(), "Y") &amp; "yrs"</f>
        <v>2yrs</v>
      </c>
      <c r="K380" t="str">
        <f>IF(Table2[[#This Row],[Age]]&lt;=19,"Teen",
   IF(Table2[[#This Row],[Age]]&lt;=35,"Young Adult",
      IF(Table2[[#This Row],[Age]]&lt;=55,"Middle-Age",
         "Old")))</f>
        <v>Old</v>
      </c>
      <c r="L380" t="str">
        <f>IF(Table2[[#This Row],[Income]]&lt;=30000,"Low",
   IF(Table2[[#This Row],[Income]]&lt;=60000,"Medium",
      IF(Table2[[#This Row],[Income]]&lt;=100000,"High",
         "Premium")))</f>
        <v>Medium</v>
      </c>
    </row>
    <row r="381" spans="1:12" x14ac:dyDescent="0.35">
      <c r="A381" t="s">
        <v>783</v>
      </c>
      <c r="B381" s="2" t="s">
        <v>784</v>
      </c>
      <c r="C381" s="2" t="s">
        <v>11</v>
      </c>
      <c r="D381" s="3">
        <v>38</v>
      </c>
      <c r="E381" s="2" t="s">
        <v>34</v>
      </c>
      <c r="F381" s="2" t="s">
        <v>42</v>
      </c>
      <c r="G381" s="4">
        <v>134225</v>
      </c>
      <c r="H381" s="2" t="s">
        <v>20</v>
      </c>
      <c r="I381" s="1">
        <v>44538</v>
      </c>
      <c r="J381" t="str">
        <f ca="1">DATEDIF(Table2[[#This Row],[Join_Date]], TODAY(), "Y") &amp; "yrs"</f>
        <v>4yrs</v>
      </c>
      <c r="K381" t="str">
        <f>IF(Table2[[#This Row],[Age]]&lt;=19,"Teen",
   IF(Table2[[#This Row],[Age]]&lt;=35,"Young Adult",
      IF(Table2[[#This Row],[Age]]&lt;=55,"Middle-Age",
         "Old")))</f>
        <v>Middle-Age</v>
      </c>
      <c r="L381" t="str">
        <f>IF(Table2[[#This Row],[Income]]&lt;=30000,"Low",
   IF(Table2[[#This Row],[Income]]&lt;=60000,"Medium",
      IF(Table2[[#This Row],[Income]]&lt;=100000,"High",
         "Premium")))</f>
        <v>Premium</v>
      </c>
    </row>
    <row r="382" spans="1:12" x14ac:dyDescent="0.35">
      <c r="A382" t="s">
        <v>785</v>
      </c>
      <c r="B382" s="2" t="s">
        <v>786</v>
      </c>
      <c r="C382" s="2" t="s">
        <v>17</v>
      </c>
      <c r="D382" s="3">
        <v>33</v>
      </c>
      <c r="E382" s="2" t="s">
        <v>18</v>
      </c>
      <c r="F382" s="2" t="s">
        <v>27</v>
      </c>
      <c r="G382" s="4">
        <v>136400</v>
      </c>
      <c r="H382" s="2" t="s">
        <v>20</v>
      </c>
      <c r="I382" s="1">
        <v>43463</v>
      </c>
      <c r="J382" t="str">
        <f ca="1">DATEDIF(Table2[[#This Row],[Join_Date]], TODAY(), "Y") &amp; "yrs"</f>
        <v>7yrs</v>
      </c>
      <c r="K382" t="str">
        <f>IF(Table2[[#This Row],[Age]]&lt;=19,"Teen",
   IF(Table2[[#This Row],[Age]]&lt;=35,"Young Adult",
      IF(Table2[[#This Row],[Age]]&lt;=55,"Middle-Age",
         "Old")))</f>
        <v>Young Adult</v>
      </c>
      <c r="L382" t="str">
        <f>IF(Table2[[#This Row],[Income]]&lt;=30000,"Low",
   IF(Table2[[#This Row],[Income]]&lt;=60000,"Medium",
      IF(Table2[[#This Row],[Income]]&lt;=100000,"High",
         "Premium")))</f>
        <v>Premium</v>
      </c>
    </row>
    <row r="383" spans="1:12" x14ac:dyDescent="0.35">
      <c r="A383" t="s">
        <v>787</v>
      </c>
      <c r="B383" s="2" t="s">
        <v>788</v>
      </c>
      <c r="C383" s="2" t="s">
        <v>17</v>
      </c>
      <c r="D383" s="3">
        <v>71</v>
      </c>
      <c r="E383" s="2" t="s">
        <v>12</v>
      </c>
      <c r="F383" s="2" t="s">
        <v>37</v>
      </c>
      <c r="G383" s="4">
        <v>100818</v>
      </c>
      <c r="H383" s="2" t="s">
        <v>14</v>
      </c>
      <c r="I383" s="1">
        <v>43995</v>
      </c>
      <c r="J383" t="str">
        <f ca="1">DATEDIF(Table2[[#This Row],[Join_Date]], TODAY(), "Y") &amp; "yrs"</f>
        <v>5yrs</v>
      </c>
      <c r="K383" t="str">
        <f>IF(Table2[[#This Row],[Age]]&lt;=19,"Teen",
   IF(Table2[[#This Row],[Age]]&lt;=35,"Young Adult",
      IF(Table2[[#This Row],[Age]]&lt;=55,"Middle-Age",
         "Old")))</f>
        <v>Old</v>
      </c>
      <c r="L383" t="str">
        <f>IF(Table2[[#This Row],[Income]]&lt;=30000,"Low",
   IF(Table2[[#This Row],[Income]]&lt;=60000,"Medium",
      IF(Table2[[#This Row],[Income]]&lt;=100000,"High",
         "Premium")))</f>
        <v>Premium</v>
      </c>
    </row>
    <row r="384" spans="1:12" x14ac:dyDescent="0.35">
      <c r="A384" t="s">
        <v>789</v>
      </c>
      <c r="B384" s="2" t="s">
        <v>790</v>
      </c>
      <c r="C384" s="2" t="s">
        <v>17</v>
      </c>
      <c r="D384" s="3">
        <v>38</v>
      </c>
      <c r="E384" s="2" t="s">
        <v>12</v>
      </c>
      <c r="F384" s="2" t="s">
        <v>42</v>
      </c>
      <c r="G384" s="4">
        <v>24703</v>
      </c>
      <c r="H384" s="2" t="s">
        <v>14</v>
      </c>
      <c r="I384" s="1">
        <v>44896</v>
      </c>
      <c r="J384" t="str">
        <f ca="1">DATEDIF(Table2[[#This Row],[Join_Date]], TODAY(), "Y") &amp; "yrs"</f>
        <v>3yrs</v>
      </c>
      <c r="K384" t="str">
        <f>IF(Table2[[#This Row],[Age]]&lt;=19,"Teen",
   IF(Table2[[#This Row],[Age]]&lt;=35,"Young Adult",
      IF(Table2[[#This Row],[Age]]&lt;=55,"Middle-Age",
         "Old")))</f>
        <v>Middle-Age</v>
      </c>
      <c r="L384" t="str">
        <f>IF(Table2[[#This Row],[Income]]&lt;=30000,"Low",
   IF(Table2[[#This Row],[Income]]&lt;=60000,"Medium",
      IF(Table2[[#This Row],[Income]]&lt;=100000,"High",
         "Premium")))</f>
        <v>Low</v>
      </c>
    </row>
    <row r="385" spans="1:12" x14ac:dyDescent="0.35">
      <c r="A385" t="s">
        <v>791</v>
      </c>
      <c r="B385" s="2" t="s">
        <v>792</v>
      </c>
      <c r="C385" s="2" t="s">
        <v>11</v>
      </c>
      <c r="D385" s="3">
        <v>28</v>
      </c>
      <c r="E385" s="2" t="s">
        <v>12</v>
      </c>
      <c r="F385" s="2" t="s">
        <v>27</v>
      </c>
      <c r="G385" s="4">
        <v>92099</v>
      </c>
      <c r="H385" s="2" t="s">
        <v>14</v>
      </c>
      <c r="I385" s="1">
        <v>44410</v>
      </c>
      <c r="J385" t="str">
        <f ca="1">DATEDIF(Table2[[#This Row],[Join_Date]], TODAY(), "Y") &amp; "yrs"</f>
        <v>4yrs</v>
      </c>
      <c r="K385" t="str">
        <f>IF(Table2[[#This Row],[Age]]&lt;=19,"Teen",
   IF(Table2[[#This Row],[Age]]&lt;=35,"Young Adult",
      IF(Table2[[#This Row],[Age]]&lt;=55,"Middle-Age",
         "Old")))</f>
        <v>Young Adult</v>
      </c>
      <c r="L385" t="str">
        <f>IF(Table2[[#This Row],[Income]]&lt;=30000,"Low",
   IF(Table2[[#This Row],[Income]]&lt;=60000,"Medium",
      IF(Table2[[#This Row],[Income]]&lt;=100000,"High",
         "Premium")))</f>
        <v>High</v>
      </c>
    </row>
    <row r="386" spans="1:12" x14ac:dyDescent="0.35">
      <c r="A386" t="s">
        <v>793</v>
      </c>
      <c r="B386" s="2" t="s">
        <v>794</v>
      </c>
      <c r="C386" s="2" t="s">
        <v>11</v>
      </c>
      <c r="D386" s="3">
        <v>54</v>
      </c>
      <c r="E386" s="2" t="s">
        <v>18</v>
      </c>
      <c r="F386" s="2" t="s">
        <v>31</v>
      </c>
      <c r="G386" s="4">
        <v>176921</v>
      </c>
      <c r="H386" s="2" t="s">
        <v>20</v>
      </c>
      <c r="I386" s="1">
        <v>44889</v>
      </c>
      <c r="J386" t="str">
        <f ca="1">DATEDIF(Table2[[#This Row],[Join_Date]], TODAY(), "Y") &amp; "yrs"</f>
        <v>3yrs</v>
      </c>
      <c r="K386" t="str">
        <f>IF(Table2[[#This Row],[Age]]&lt;=19,"Teen",
   IF(Table2[[#This Row],[Age]]&lt;=35,"Young Adult",
      IF(Table2[[#This Row],[Age]]&lt;=55,"Middle-Age",
         "Old")))</f>
        <v>Middle-Age</v>
      </c>
      <c r="L386" t="str">
        <f>IF(Table2[[#This Row],[Income]]&lt;=30000,"Low",
   IF(Table2[[#This Row],[Income]]&lt;=60000,"Medium",
      IF(Table2[[#This Row],[Income]]&lt;=100000,"High",
         "Premium")))</f>
        <v>Premium</v>
      </c>
    </row>
    <row r="387" spans="1:12" x14ac:dyDescent="0.35">
      <c r="A387" t="s">
        <v>795</v>
      </c>
      <c r="B387" s="2" t="s">
        <v>796</v>
      </c>
      <c r="C387" s="2" t="s">
        <v>17</v>
      </c>
      <c r="D387" s="3">
        <v>53</v>
      </c>
      <c r="E387" s="2" t="s">
        <v>18</v>
      </c>
      <c r="F387" s="2" t="s">
        <v>31</v>
      </c>
      <c r="G387" s="4">
        <v>182932</v>
      </c>
      <c r="H387" s="2" t="s">
        <v>20</v>
      </c>
      <c r="I387" s="1">
        <v>45157</v>
      </c>
      <c r="J387" t="str">
        <f ca="1">DATEDIF(Table2[[#This Row],[Join_Date]], TODAY(), "Y") &amp; "yrs"</f>
        <v>2yrs</v>
      </c>
      <c r="K387" t="str">
        <f>IF(Table2[[#This Row],[Age]]&lt;=19,"Teen",
   IF(Table2[[#This Row],[Age]]&lt;=35,"Young Adult",
      IF(Table2[[#This Row],[Age]]&lt;=55,"Middle-Age",
         "Old")))</f>
        <v>Middle-Age</v>
      </c>
      <c r="L387" t="str">
        <f>IF(Table2[[#This Row],[Income]]&lt;=30000,"Low",
   IF(Table2[[#This Row],[Income]]&lt;=60000,"Medium",
      IF(Table2[[#This Row],[Income]]&lt;=100000,"High",
         "Premium")))</f>
        <v>Premium</v>
      </c>
    </row>
    <row r="388" spans="1:12" x14ac:dyDescent="0.35">
      <c r="A388" t="s">
        <v>797</v>
      </c>
      <c r="B388" s="2" t="s">
        <v>798</v>
      </c>
      <c r="C388" s="2" t="s">
        <v>11</v>
      </c>
      <c r="D388" s="3">
        <v>52</v>
      </c>
      <c r="E388" s="2" t="s">
        <v>34</v>
      </c>
      <c r="F388" s="2" t="s">
        <v>37</v>
      </c>
      <c r="G388" s="4">
        <v>51585</v>
      </c>
      <c r="H388" s="2" t="s">
        <v>20</v>
      </c>
      <c r="I388" s="1">
        <v>43577</v>
      </c>
      <c r="J388" t="str">
        <f ca="1">DATEDIF(Table2[[#This Row],[Join_Date]], TODAY(), "Y") &amp; "yrs"</f>
        <v>6yrs</v>
      </c>
      <c r="K388" t="str">
        <f>IF(Table2[[#This Row],[Age]]&lt;=19,"Teen",
   IF(Table2[[#This Row],[Age]]&lt;=35,"Young Adult",
      IF(Table2[[#This Row],[Age]]&lt;=55,"Middle-Age",
         "Old")))</f>
        <v>Middle-Age</v>
      </c>
      <c r="L388" t="str">
        <f>IF(Table2[[#This Row],[Income]]&lt;=30000,"Low",
   IF(Table2[[#This Row],[Income]]&lt;=60000,"Medium",
      IF(Table2[[#This Row],[Income]]&lt;=100000,"High",
         "Premium")))</f>
        <v>Medium</v>
      </c>
    </row>
    <row r="389" spans="1:12" x14ac:dyDescent="0.35">
      <c r="A389" t="s">
        <v>799</v>
      </c>
      <c r="B389" s="2" t="s">
        <v>800</v>
      </c>
      <c r="C389" s="2" t="s">
        <v>11</v>
      </c>
      <c r="D389" s="3">
        <v>36</v>
      </c>
      <c r="E389" s="2" t="s">
        <v>34</v>
      </c>
      <c r="F389" s="2" t="s">
        <v>23</v>
      </c>
      <c r="G389" s="4">
        <v>173087</v>
      </c>
      <c r="H389" s="2" t="s">
        <v>14</v>
      </c>
      <c r="I389" s="1">
        <v>43947</v>
      </c>
      <c r="J389" t="str">
        <f ca="1">DATEDIF(Table2[[#This Row],[Join_Date]], TODAY(), "Y") &amp; "yrs"</f>
        <v>5yrs</v>
      </c>
      <c r="K389" t="str">
        <f>IF(Table2[[#This Row],[Age]]&lt;=19,"Teen",
   IF(Table2[[#This Row],[Age]]&lt;=35,"Young Adult",
      IF(Table2[[#This Row],[Age]]&lt;=55,"Middle-Age",
         "Old")))</f>
        <v>Middle-Age</v>
      </c>
      <c r="L389" t="str">
        <f>IF(Table2[[#This Row],[Income]]&lt;=30000,"Low",
   IF(Table2[[#This Row],[Income]]&lt;=60000,"Medium",
      IF(Table2[[#This Row],[Income]]&lt;=100000,"High",
         "Premium")))</f>
        <v>Premium</v>
      </c>
    </row>
    <row r="390" spans="1:12" x14ac:dyDescent="0.35">
      <c r="A390" t="s">
        <v>801</v>
      </c>
      <c r="B390" s="2" t="s">
        <v>802</v>
      </c>
      <c r="C390" s="2" t="s">
        <v>11</v>
      </c>
      <c r="D390" s="3">
        <v>37</v>
      </c>
      <c r="E390" s="2" t="s">
        <v>34</v>
      </c>
      <c r="F390" s="2" t="s">
        <v>37</v>
      </c>
      <c r="G390" s="4">
        <v>63585</v>
      </c>
      <c r="H390" s="2" t="s">
        <v>14</v>
      </c>
      <c r="I390" s="1">
        <v>42757</v>
      </c>
      <c r="J390" t="str">
        <f ca="1">DATEDIF(Table2[[#This Row],[Join_Date]], TODAY(), "Y") &amp; "yrs"</f>
        <v>8yrs</v>
      </c>
      <c r="K390" t="str">
        <f>IF(Table2[[#This Row],[Age]]&lt;=19,"Teen",
   IF(Table2[[#This Row],[Age]]&lt;=35,"Young Adult",
      IF(Table2[[#This Row],[Age]]&lt;=55,"Middle-Age",
         "Old")))</f>
        <v>Middle-Age</v>
      </c>
      <c r="L390" t="str">
        <f>IF(Table2[[#This Row],[Income]]&lt;=30000,"Low",
   IF(Table2[[#This Row],[Income]]&lt;=60000,"Medium",
      IF(Table2[[#This Row],[Income]]&lt;=100000,"High",
         "Premium")))</f>
        <v>High</v>
      </c>
    </row>
    <row r="391" spans="1:12" x14ac:dyDescent="0.35">
      <c r="A391" t="s">
        <v>803</v>
      </c>
      <c r="B391" s="2" t="s">
        <v>804</v>
      </c>
      <c r="C391" s="2" t="s">
        <v>11</v>
      </c>
      <c r="D391" s="3">
        <v>74</v>
      </c>
      <c r="E391" s="2" t="s">
        <v>30</v>
      </c>
      <c r="F391" s="2" t="s">
        <v>19</v>
      </c>
      <c r="G391" s="4">
        <v>46958</v>
      </c>
      <c r="H391" s="2" t="s">
        <v>24</v>
      </c>
      <c r="I391" s="1">
        <v>44220</v>
      </c>
      <c r="J391" t="str">
        <f ca="1">DATEDIF(Table2[[#This Row],[Join_Date]], TODAY(), "Y") &amp; "yrs"</f>
        <v>4yrs</v>
      </c>
      <c r="K391" t="str">
        <f>IF(Table2[[#This Row],[Age]]&lt;=19,"Teen",
   IF(Table2[[#This Row],[Age]]&lt;=35,"Young Adult",
      IF(Table2[[#This Row],[Age]]&lt;=55,"Middle-Age",
         "Old")))</f>
        <v>Old</v>
      </c>
      <c r="L391" t="str">
        <f>IF(Table2[[#This Row],[Income]]&lt;=30000,"Low",
   IF(Table2[[#This Row],[Income]]&lt;=60000,"Medium",
      IF(Table2[[#This Row],[Income]]&lt;=100000,"High",
         "Premium")))</f>
        <v>Medium</v>
      </c>
    </row>
    <row r="392" spans="1:12" x14ac:dyDescent="0.35">
      <c r="A392" t="s">
        <v>805</v>
      </c>
      <c r="B392" s="2" t="s">
        <v>806</v>
      </c>
      <c r="C392" s="2" t="s">
        <v>11</v>
      </c>
      <c r="D392" s="3">
        <v>35</v>
      </c>
      <c r="E392" s="2" t="s">
        <v>12</v>
      </c>
      <c r="F392" s="2" t="s">
        <v>42</v>
      </c>
      <c r="G392" s="4">
        <v>46017</v>
      </c>
      <c r="H392" s="2" t="s">
        <v>20</v>
      </c>
      <c r="I392" s="1">
        <v>42931</v>
      </c>
      <c r="J392" t="str">
        <f ca="1">DATEDIF(Table2[[#This Row],[Join_Date]], TODAY(), "Y") &amp; "yrs"</f>
        <v>8yrs</v>
      </c>
      <c r="K392" t="str">
        <f>IF(Table2[[#This Row],[Age]]&lt;=19,"Teen",
   IF(Table2[[#This Row],[Age]]&lt;=35,"Young Adult",
      IF(Table2[[#This Row],[Age]]&lt;=55,"Middle-Age",
         "Old")))</f>
        <v>Young Adult</v>
      </c>
      <c r="L392" t="str">
        <f>IF(Table2[[#This Row],[Income]]&lt;=30000,"Low",
   IF(Table2[[#This Row],[Income]]&lt;=60000,"Medium",
      IF(Table2[[#This Row],[Income]]&lt;=100000,"High",
         "Premium")))</f>
        <v>Medium</v>
      </c>
    </row>
    <row r="393" spans="1:12" x14ac:dyDescent="0.35">
      <c r="A393" t="s">
        <v>807</v>
      </c>
      <c r="B393" s="2" t="s">
        <v>808</v>
      </c>
      <c r="C393" s="2" t="s">
        <v>11</v>
      </c>
      <c r="D393" s="3">
        <v>64</v>
      </c>
      <c r="E393" s="2" t="s">
        <v>12</v>
      </c>
      <c r="F393" s="2" t="s">
        <v>13</v>
      </c>
      <c r="G393" s="4">
        <v>144677</v>
      </c>
      <c r="H393" s="2" t="s">
        <v>14</v>
      </c>
      <c r="I393" s="1">
        <v>43422</v>
      </c>
      <c r="J393" t="str">
        <f ca="1">DATEDIF(Table2[[#This Row],[Join_Date]], TODAY(), "Y") &amp; "yrs"</f>
        <v>7yrs</v>
      </c>
      <c r="K393" t="str">
        <f>IF(Table2[[#This Row],[Age]]&lt;=19,"Teen",
   IF(Table2[[#This Row],[Age]]&lt;=35,"Young Adult",
      IF(Table2[[#This Row],[Age]]&lt;=55,"Middle-Age",
         "Old")))</f>
        <v>Old</v>
      </c>
      <c r="L393" t="str">
        <f>IF(Table2[[#This Row],[Income]]&lt;=30000,"Low",
   IF(Table2[[#This Row],[Income]]&lt;=60000,"Medium",
      IF(Table2[[#This Row],[Income]]&lt;=100000,"High",
         "Premium")))</f>
        <v>Premium</v>
      </c>
    </row>
    <row r="394" spans="1:12" x14ac:dyDescent="0.35">
      <c r="A394" t="s">
        <v>809</v>
      </c>
      <c r="B394" s="2" t="s">
        <v>810</v>
      </c>
      <c r="C394" s="2" t="s">
        <v>17</v>
      </c>
      <c r="D394" s="3">
        <v>58</v>
      </c>
      <c r="E394" s="2" t="s">
        <v>34</v>
      </c>
      <c r="F394" s="2" t="s">
        <v>23</v>
      </c>
      <c r="G394" s="4">
        <v>196422</v>
      </c>
      <c r="H394" s="2" t="s">
        <v>24</v>
      </c>
      <c r="I394" s="1">
        <v>44545</v>
      </c>
      <c r="J394" t="str">
        <f ca="1">DATEDIF(Table2[[#This Row],[Join_Date]], TODAY(), "Y") &amp; "yrs"</f>
        <v>4yrs</v>
      </c>
      <c r="K394" t="str">
        <f>IF(Table2[[#This Row],[Age]]&lt;=19,"Teen",
   IF(Table2[[#This Row],[Age]]&lt;=35,"Young Adult",
      IF(Table2[[#This Row],[Age]]&lt;=55,"Middle-Age",
         "Old")))</f>
        <v>Old</v>
      </c>
      <c r="L394" t="str">
        <f>IF(Table2[[#This Row],[Income]]&lt;=30000,"Low",
   IF(Table2[[#This Row],[Income]]&lt;=60000,"Medium",
      IF(Table2[[#This Row],[Income]]&lt;=100000,"High",
         "Premium")))</f>
        <v>Premium</v>
      </c>
    </row>
    <row r="395" spans="1:12" x14ac:dyDescent="0.35">
      <c r="A395" t="s">
        <v>811</v>
      </c>
      <c r="B395" s="2" t="s">
        <v>812</v>
      </c>
      <c r="C395" s="2" t="s">
        <v>17</v>
      </c>
      <c r="D395" s="3">
        <v>66</v>
      </c>
      <c r="E395" s="2" t="s">
        <v>12</v>
      </c>
      <c r="F395" s="2" t="s">
        <v>37</v>
      </c>
      <c r="G395" s="4">
        <v>163273</v>
      </c>
      <c r="H395" s="2" t="s">
        <v>20</v>
      </c>
      <c r="I395" s="1">
        <v>42384</v>
      </c>
      <c r="J395" t="str">
        <f ca="1">DATEDIF(Table2[[#This Row],[Join_Date]], TODAY(), "Y") &amp; "yrs"</f>
        <v>10yrs</v>
      </c>
      <c r="K395" t="str">
        <f>IF(Table2[[#This Row],[Age]]&lt;=19,"Teen",
   IF(Table2[[#This Row],[Age]]&lt;=35,"Young Adult",
      IF(Table2[[#This Row],[Age]]&lt;=55,"Middle-Age",
         "Old")))</f>
        <v>Old</v>
      </c>
      <c r="L395" t="str">
        <f>IF(Table2[[#This Row],[Income]]&lt;=30000,"Low",
   IF(Table2[[#This Row],[Income]]&lt;=60000,"Medium",
      IF(Table2[[#This Row],[Income]]&lt;=100000,"High",
         "Premium")))</f>
        <v>Premium</v>
      </c>
    </row>
    <row r="396" spans="1:12" x14ac:dyDescent="0.35">
      <c r="A396" t="s">
        <v>813</v>
      </c>
      <c r="B396" s="2" t="s">
        <v>814</v>
      </c>
      <c r="C396" s="2" t="s">
        <v>11</v>
      </c>
      <c r="D396" s="3">
        <v>31</v>
      </c>
      <c r="E396" s="2" t="s">
        <v>34</v>
      </c>
      <c r="F396" s="2" t="s">
        <v>27</v>
      </c>
      <c r="G396" s="4">
        <v>49426</v>
      </c>
      <c r="H396" s="2" t="s">
        <v>14</v>
      </c>
      <c r="I396" s="1">
        <v>45372</v>
      </c>
      <c r="J396" t="str">
        <f ca="1">DATEDIF(Table2[[#This Row],[Join_Date]], TODAY(), "Y") &amp; "yrs"</f>
        <v>1yrs</v>
      </c>
      <c r="K396" t="str">
        <f>IF(Table2[[#This Row],[Age]]&lt;=19,"Teen",
   IF(Table2[[#This Row],[Age]]&lt;=35,"Young Adult",
      IF(Table2[[#This Row],[Age]]&lt;=55,"Middle-Age",
         "Old")))</f>
        <v>Young Adult</v>
      </c>
      <c r="L396" t="str">
        <f>IF(Table2[[#This Row],[Income]]&lt;=30000,"Low",
   IF(Table2[[#This Row],[Income]]&lt;=60000,"Medium",
      IF(Table2[[#This Row],[Income]]&lt;=100000,"High",
         "Premium")))</f>
        <v>Medium</v>
      </c>
    </row>
    <row r="397" spans="1:12" x14ac:dyDescent="0.35">
      <c r="A397" t="s">
        <v>815</v>
      </c>
      <c r="B397" s="2" t="s">
        <v>816</v>
      </c>
      <c r="C397" s="2" t="s">
        <v>17</v>
      </c>
      <c r="D397" s="3">
        <v>32</v>
      </c>
      <c r="E397" s="2" t="s">
        <v>30</v>
      </c>
      <c r="F397" s="2" t="s">
        <v>23</v>
      </c>
      <c r="G397" s="4">
        <v>37778</v>
      </c>
      <c r="H397" s="2" t="s">
        <v>20</v>
      </c>
      <c r="I397" s="1">
        <v>44714</v>
      </c>
      <c r="J397" t="str">
        <f ca="1">DATEDIF(Table2[[#This Row],[Join_Date]], TODAY(), "Y") &amp; "yrs"</f>
        <v>3yrs</v>
      </c>
      <c r="K397" t="str">
        <f>IF(Table2[[#This Row],[Age]]&lt;=19,"Teen",
   IF(Table2[[#This Row],[Age]]&lt;=35,"Young Adult",
      IF(Table2[[#This Row],[Age]]&lt;=55,"Middle-Age",
         "Old")))</f>
        <v>Young Adult</v>
      </c>
      <c r="L397" t="str">
        <f>IF(Table2[[#This Row],[Income]]&lt;=30000,"Low",
   IF(Table2[[#This Row],[Income]]&lt;=60000,"Medium",
      IF(Table2[[#This Row],[Income]]&lt;=100000,"High",
         "Premium")))</f>
        <v>Medium</v>
      </c>
    </row>
    <row r="398" spans="1:12" x14ac:dyDescent="0.35">
      <c r="A398" t="s">
        <v>817</v>
      </c>
      <c r="B398" s="2" t="s">
        <v>818</v>
      </c>
      <c r="C398" s="2" t="s">
        <v>17</v>
      </c>
      <c r="D398" s="3">
        <v>48</v>
      </c>
      <c r="E398" s="2" t="s">
        <v>30</v>
      </c>
      <c r="F398" s="2" t="s">
        <v>42</v>
      </c>
      <c r="G398" s="4">
        <v>196313</v>
      </c>
      <c r="H398" s="2" t="s">
        <v>20</v>
      </c>
      <c r="I398" s="1">
        <v>44176</v>
      </c>
      <c r="J398" t="str">
        <f ca="1">DATEDIF(Table2[[#This Row],[Join_Date]], TODAY(), "Y") &amp; "yrs"</f>
        <v>5yrs</v>
      </c>
      <c r="K398" t="str">
        <f>IF(Table2[[#This Row],[Age]]&lt;=19,"Teen",
   IF(Table2[[#This Row],[Age]]&lt;=35,"Young Adult",
      IF(Table2[[#This Row],[Age]]&lt;=55,"Middle-Age",
         "Old")))</f>
        <v>Middle-Age</v>
      </c>
      <c r="L398" t="str">
        <f>IF(Table2[[#This Row],[Income]]&lt;=30000,"Low",
   IF(Table2[[#This Row],[Income]]&lt;=60000,"Medium",
      IF(Table2[[#This Row],[Income]]&lt;=100000,"High",
         "Premium")))</f>
        <v>Premium</v>
      </c>
    </row>
    <row r="399" spans="1:12" x14ac:dyDescent="0.35">
      <c r="A399" t="s">
        <v>819</v>
      </c>
      <c r="B399" s="2" t="s">
        <v>820</v>
      </c>
      <c r="C399" s="2" t="s">
        <v>17</v>
      </c>
      <c r="D399" s="3">
        <v>18</v>
      </c>
      <c r="E399" s="2" t="s">
        <v>18</v>
      </c>
      <c r="F399" s="2" t="s">
        <v>23</v>
      </c>
      <c r="G399" s="4">
        <v>62229</v>
      </c>
      <c r="H399" s="2" t="s">
        <v>20</v>
      </c>
      <c r="I399" s="1">
        <v>45160</v>
      </c>
      <c r="J399" t="str">
        <f ca="1">DATEDIF(Table2[[#This Row],[Join_Date]], TODAY(), "Y") &amp; "yrs"</f>
        <v>2yrs</v>
      </c>
      <c r="K399" t="str">
        <f>IF(Table2[[#This Row],[Age]]&lt;=19,"Teen",
   IF(Table2[[#This Row],[Age]]&lt;=35,"Young Adult",
      IF(Table2[[#This Row],[Age]]&lt;=55,"Middle-Age",
         "Old")))</f>
        <v>Teen</v>
      </c>
      <c r="L399" t="str">
        <f>IF(Table2[[#This Row],[Income]]&lt;=30000,"Low",
   IF(Table2[[#This Row],[Income]]&lt;=60000,"Medium",
      IF(Table2[[#This Row],[Income]]&lt;=100000,"High",
         "Premium")))</f>
        <v>High</v>
      </c>
    </row>
    <row r="400" spans="1:12" x14ac:dyDescent="0.35">
      <c r="A400" t="s">
        <v>821</v>
      </c>
      <c r="B400" s="2" t="s">
        <v>822</v>
      </c>
      <c r="C400" s="2" t="s">
        <v>17</v>
      </c>
      <c r="D400" s="3">
        <v>70</v>
      </c>
      <c r="E400" s="2" t="s">
        <v>30</v>
      </c>
      <c r="F400" s="2" t="s">
        <v>42</v>
      </c>
      <c r="G400" s="4">
        <v>106652</v>
      </c>
      <c r="H400" s="2" t="s">
        <v>14</v>
      </c>
      <c r="I400" s="1">
        <v>45702</v>
      </c>
      <c r="J400" t="str">
        <f ca="1">DATEDIF(Table2[[#This Row],[Join_Date]], TODAY(), "Y") &amp; "yrs"</f>
        <v>0yrs</v>
      </c>
      <c r="K400" t="str">
        <f>IF(Table2[[#This Row],[Age]]&lt;=19,"Teen",
   IF(Table2[[#This Row],[Age]]&lt;=35,"Young Adult",
      IF(Table2[[#This Row],[Age]]&lt;=55,"Middle-Age",
         "Old")))</f>
        <v>Old</v>
      </c>
      <c r="L400" t="str">
        <f>IF(Table2[[#This Row],[Income]]&lt;=30000,"Low",
   IF(Table2[[#This Row],[Income]]&lt;=60000,"Medium",
      IF(Table2[[#This Row],[Income]]&lt;=100000,"High",
         "Premium")))</f>
        <v>Premium</v>
      </c>
    </row>
    <row r="401" spans="1:12" x14ac:dyDescent="0.35">
      <c r="A401" t="s">
        <v>823</v>
      </c>
      <c r="B401" s="2" t="s">
        <v>824</v>
      </c>
      <c r="C401" s="2" t="s">
        <v>11</v>
      </c>
      <c r="D401" s="3">
        <v>71</v>
      </c>
      <c r="E401" s="2" t="s">
        <v>34</v>
      </c>
      <c r="F401" s="2" t="s">
        <v>37</v>
      </c>
      <c r="G401" s="4">
        <v>148267</v>
      </c>
      <c r="H401" s="2" t="s">
        <v>14</v>
      </c>
      <c r="I401" s="1">
        <v>42789</v>
      </c>
      <c r="J401" t="str">
        <f ca="1">DATEDIF(Table2[[#This Row],[Join_Date]], TODAY(), "Y") &amp; "yrs"</f>
        <v>8yrs</v>
      </c>
      <c r="K401" t="str">
        <f>IF(Table2[[#This Row],[Age]]&lt;=19,"Teen",
   IF(Table2[[#This Row],[Age]]&lt;=35,"Young Adult",
      IF(Table2[[#This Row],[Age]]&lt;=55,"Middle-Age",
         "Old")))</f>
        <v>Old</v>
      </c>
      <c r="L401" t="str">
        <f>IF(Table2[[#This Row],[Income]]&lt;=30000,"Low",
   IF(Table2[[#This Row],[Income]]&lt;=60000,"Medium",
      IF(Table2[[#This Row],[Income]]&lt;=100000,"High",
         "Premium")))</f>
        <v>Premium</v>
      </c>
    </row>
    <row r="402" spans="1:12" x14ac:dyDescent="0.35">
      <c r="A402" t="s">
        <v>825</v>
      </c>
      <c r="B402" s="2" t="s">
        <v>826</v>
      </c>
      <c r="C402" s="2" t="s">
        <v>17</v>
      </c>
      <c r="D402" s="3">
        <v>71</v>
      </c>
      <c r="E402" s="2" t="s">
        <v>30</v>
      </c>
      <c r="F402" s="2" t="s">
        <v>42</v>
      </c>
      <c r="G402" s="4">
        <v>199436</v>
      </c>
      <c r="H402" s="2" t="s">
        <v>24</v>
      </c>
      <c r="I402" s="1">
        <v>44100</v>
      </c>
      <c r="J402" t="str">
        <f ca="1">DATEDIF(Table2[[#This Row],[Join_Date]], TODAY(), "Y") &amp; "yrs"</f>
        <v>5yrs</v>
      </c>
      <c r="K402" t="str">
        <f>IF(Table2[[#This Row],[Age]]&lt;=19,"Teen",
   IF(Table2[[#This Row],[Age]]&lt;=35,"Young Adult",
      IF(Table2[[#This Row],[Age]]&lt;=55,"Middle-Age",
         "Old")))</f>
        <v>Old</v>
      </c>
      <c r="L402" t="str">
        <f>IF(Table2[[#This Row],[Income]]&lt;=30000,"Low",
   IF(Table2[[#This Row],[Income]]&lt;=60000,"Medium",
      IF(Table2[[#This Row],[Income]]&lt;=100000,"High",
         "Premium")))</f>
        <v>Premium</v>
      </c>
    </row>
    <row r="403" spans="1:12" x14ac:dyDescent="0.35">
      <c r="A403" t="s">
        <v>827</v>
      </c>
      <c r="B403" s="2" t="s">
        <v>828</v>
      </c>
      <c r="C403" s="2" t="s">
        <v>17</v>
      </c>
      <c r="D403" s="3">
        <v>20</v>
      </c>
      <c r="E403" s="2" t="s">
        <v>18</v>
      </c>
      <c r="F403" s="2" t="s">
        <v>23</v>
      </c>
      <c r="G403" s="4">
        <v>146503</v>
      </c>
      <c r="H403" s="2" t="s">
        <v>14</v>
      </c>
      <c r="I403" s="1">
        <v>44310</v>
      </c>
      <c r="J403" t="str">
        <f ca="1">DATEDIF(Table2[[#This Row],[Join_Date]], TODAY(), "Y") &amp; "yrs"</f>
        <v>4yrs</v>
      </c>
      <c r="K403" t="str">
        <f>IF(Table2[[#This Row],[Age]]&lt;=19,"Teen",
   IF(Table2[[#This Row],[Age]]&lt;=35,"Young Adult",
      IF(Table2[[#This Row],[Age]]&lt;=55,"Middle-Age",
         "Old")))</f>
        <v>Young Adult</v>
      </c>
      <c r="L403" t="str">
        <f>IF(Table2[[#This Row],[Income]]&lt;=30000,"Low",
   IF(Table2[[#This Row],[Income]]&lt;=60000,"Medium",
      IF(Table2[[#This Row],[Income]]&lt;=100000,"High",
         "Premium")))</f>
        <v>Premium</v>
      </c>
    </row>
    <row r="404" spans="1:12" x14ac:dyDescent="0.35">
      <c r="A404" t="s">
        <v>829</v>
      </c>
      <c r="B404" s="2" t="s">
        <v>830</v>
      </c>
      <c r="C404" s="2" t="s">
        <v>11</v>
      </c>
      <c r="D404" s="3">
        <v>33</v>
      </c>
      <c r="E404" s="2" t="s">
        <v>12</v>
      </c>
      <c r="F404" s="2" t="s">
        <v>27</v>
      </c>
      <c r="G404" s="4">
        <v>104878</v>
      </c>
      <c r="H404" s="2" t="s">
        <v>14</v>
      </c>
      <c r="I404" s="1">
        <v>43523</v>
      </c>
      <c r="J404" t="str">
        <f ca="1">DATEDIF(Table2[[#This Row],[Join_Date]], TODAY(), "Y") &amp; "yrs"</f>
        <v>6yrs</v>
      </c>
      <c r="K404" t="str">
        <f>IF(Table2[[#This Row],[Age]]&lt;=19,"Teen",
   IF(Table2[[#This Row],[Age]]&lt;=35,"Young Adult",
      IF(Table2[[#This Row],[Age]]&lt;=55,"Middle-Age",
         "Old")))</f>
        <v>Young Adult</v>
      </c>
      <c r="L404" t="str">
        <f>IF(Table2[[#This Row],[Income]]&lt;=30000,"Low",
   IF(Table2[[#This Row],[Income]]&lt;=60000,"Medium",
      IF(Table2[[#This Row],[Income]]&lt;=100000,"High",
         "Premium")))</f>
        <v>Premium</v>
      </c>
    </row>
    <row r="405" spans="1:12" x14ac:dyDescent="0.35">
      <c r="A405" t="s">
        <v>831</v>
      </c>
      <c r="B405" s="2" t="s">
        <v>832</v>
      </c>
      <c r="C405" s="2" t="s">
        <v>11</v>
      </c>
      <c r="D405" s="3">
        <v>40</v>
      </c>
      <c r="E405" s="2" t="s">
        <v>34</v>
      </c>
      <c r="F405" s="2" t="s">
        <v>31</v>
      </c>
      <c r="G405" s="4">
        <v>77056</v>
      </c>
      <c r="H405" s="2" t="s">
        <v>14</v>
      </c>
      <c r="I405" s="1">
        <v>44268</v>
      </c>
      <c r="J405" t="str">
        <f ca="1">DATEDIF(Table2[[#This Row],[Join_Date]], TODAY(), "Y") &amp; "yrs"</f>
        <v>4yrs</v>
      </c>
      <c r="K405" t="str">
        <f>IF(Table2[[#This Row],[Age]]&lt;=19,"Teen",
   IF(Table2[[#This Row],[Age]]&lt;=35,"Young Adult",
      IF(Table2[[#This Row],[Age]]&lt;=55,"Middle-Age",
         "Old")))</f>
        <v>Middle-Age</v>
      </c>
      <c r="L405" t="str">
        <f>IF(Table2[[#This Row],[Income]]&lt;=30000,"Low",
   IF(Table2[[#This Row],[Income]]&lt;=60000,"Medium",
      IF(Table2[[#This Row],[Income]]&lt;=100000,"High",
         "Premium")))</f>
        <v>High</v>
      </c>
    </row>
    <row r="406" spans="1:12" x14ac:dyDescent="0.35">
      <c r="A406" t="s">
        <v>833</v>
      </c>
      <c r="B406" s="2" t="s">
        <v>834</v>
      </c>
      <c r="C406" s="2" t="s">
        <v>17</v>
      </c>
      <c r="D406" s="3">
        <v>74</v>
      </c>
      <c r="E406" s="2" t="s">
        <v>12</v>
      </c>
      <c r="F406" s="2" t="s">
        <v>23</v>
      </c>
      <c r="G406" s="4">
        <v>178562</v>
      </c>
      <c r="H406" s="2" t="s">
        <v>14</v>
      </c>
      <c r="I406" s="1">
        <v>45246</v>
      </c>
      <c r="J406" t="str">
        <f ca="1">DATEDIF(Table2[[#This Row],[Join_Date]], TODAY(), "Y") &amp; "yrs"</f>
        <v>2yrs</v>
      </c>
      <c r="K406" t="str">
        <f>IF(Table2[[#This Row],[Age]]&lt;=19,"Teen",
   IF(Table2[[#This Row],[Age]]&lt;=35,"Young Adult",
      IF(Table2[[#This Row],[Age]]&lt;=55,"Middle-Age",
         "Old")))</f>
        <v>Old</v>
      </c>
      <c r="L406" t="str">
        <f>IF(Table2[[#This Row],[Income]]&lt;=30000,"Low",
   IF(Table2[[#This Row],[Income]]&lt;=60000,"Medium",
      IF(Table2[[#This Row],[Income]]&lt;=100000,"High",
         "Premium")))</f>
        <v>Premium</v>
      </c>
    </row>
    <row r="407" spans="1:12" x14ac:dyDescent="0.35">
      <c r="A407" t="s">
        <v>835</v>
      </c>
      <c r="B407" s="2" t="s">
        <v>836</v>
      </c>
      <c r="C407" s="2" t="s">
        <v>17</v>
      </c>
      <c r="D407" s="3">
        <v>28</v>
      </c>
      <c r="E407" s="2" t="s">
        <v>18</v>
      </c>
      <c r="F407" s="2" t="s">
        <v>42</v>
      </c>
      <c r="G407" s="4">
        <v>39975</v>
      </c>
      <c r="H407" s="2" t="s">
        <v>20</v>
      </c>
      <c r="I407" s="1">
        <v>44902</v>
      </c>
      <c r="J407" t="str">
        <f ca="1">DATEDIF(Table2[[#This Row],[Join_Date]], TODAY(), "Y") &amp; "yrs"</f>
        <v>3yrs</v>
      </c>
      <c r="K407" t="str">
        <f>IF(Table2[[#This Row],[Age]]&lt;=19,"Teen",
   IF(Table2[[#This Row],[Age]]&lt;=35,"Young Adult",
      IF(Table2[[#This Row],[Age]]&lt;=55,"Middle-Age",
         "Old")))</f>
        <v>Young Adult</v>
      </c>
      <c r="L407" t="str">
        <f>IF(Table2[[#This Row],[Income]]&lt;=30000,"Low",
   IF(Table2[[#This Row],[Income]]&lt;=60000,"Medium",
      IF(Table2[[#This Row],[Income]]&lt;=100000,"High",
         "Premium")))</f>
        <v>Medium</v>
      </c>
    </row>
    <row r="408" spans="1:12" x14ac:dyDescent="0.35">
      <c r="A408" t="s">
        <v>837</v>
      </c>
      <c r="B408" s="2" t="s">
        <v>838</v>
      </c>
      <c r="C408" s="2" t="s">
        <v>17</v>
      </c>
      <c r="D408" s="3">
        <v>29</v>
      </c>
      <c r="E408" s="2" t="s">
        <v>18</v>
      </c>
      <c r="F408" s="2" t="s">
        <v>31</v>
      </c>
      <c r="G408" s="4">
        <v>177795</v>
      </c>
      <c r="H408" s="2" t="s">
        <v>24</v>
      </c>
      <c r="I408" s="1">
        <v>43097</v>
      </c>
      <c r="J408" t="str">
        <f ca="1">DATEDIF(Table2[[#This Row],[Join_Date]], TODAY(), "Y") &amp; "yrs"</f>
        <v>8yrs</v>
      </c>
      <c r="K408" t="str">
        <f>IF(Table2[[#This Row],[Age]]&lt;=19,"Teen",
   IF(Table2[[#This Row],[Age]]&lt;=35,"Young Adult",
      IF(Table2[[#This Row],[Age]]&lt;=55,"Middle-Age",
         "Old")))</f>
        <v>Young Adult</v>
      </c>
      <c r="L408" t="str">
        <f>IF(Table2[[#This Row],[Income]]&lt;=30000,"Low",
   IF(Table2[[#This Row],[Income]]&lt;=60000,"Medium",
      IF(Table2[[#This Row],[Income]]&lt;=100000,"High",
         "Premium")))</f>
        <v>Premium</v>
      </c>
    </row>
    <row r="409" spans="1:12" x14ac:dyDescent="0.35">
      <c r="A409" t="s">
        <v>839</v>
      </c>
      <c r="B409" s="2" t="s">
        <v>840</v>
      </c>
      <c r="C409" s="2" t="s">
        <v>17</v>
      </c>
      <c r="D409" s="3">
        <v>27</v>
      </c>
      <c r="E409" s="2" t="s">
        <v>18</v>
      </c>
      <c r="F409" s="2" t="s">
        <v>42</v>
      </c>
      <c r="G409" s="4">
        <v>174351</v>
      </c>
      <c r="H409" s="2" t="s">
        <v>14</v>
      </c>
      <c r="I409" s="1">
        <v>42571</v>
      </c>
      <c r="J409" t="str">
        <f ca="1">DATEDIF(Table2[[#This Row],[Join_Date]], TODAY(), "Y") &amp; "yrs"</f>
        <v>9yrs</v>
      </c>
      <c r="K409" t="str">
        <f>IF(Table2[[#This Row],[Age]]&lt;=19,"Teen",
   IF(Table2[[#This Row],[Age]]&lt;=35,"Young Adult",
      IF(Table2[[#This Row],[Age]]&lt;=55,"Middle-Age",
         "Old")))</f>
        <v>Young Adult</v>
      </c>
      <c r="L409" t="str">
        <f>IF(Table2[[#This Row],[Income]]&lt;=30000,"Low",
   IF(Table2[[#This Row],[Income]]&lt;=60000,"Medium",
      IF(Table2[[#This Row],[Income]]&lt;=100000,"High",
         "Premium")))</f>
        <v>Premium</v>
      </c>
    </row>
    <row r="410" spans="1:12" x14ac:dyDescent="0.35">
      <c r="A410" t="s">
        <v>841</v>
      </c>
      <c r="B410" s="2" t="s">
        <v>842</v>
      </c>
      <c r="C410" s="2" t="s">
        <v>17</v>
      </c>
      <c r="D410" s="3">
        <v>49</v>
      </c>
      <c r="E410" s="2" t="s">
        <v>12</v>
      </c>
      <c r="F410" s="2" t="s">
        <v>27</v>
      </c>
      <c r="G410" s="4">
        <v>162633</v>
      </c>
      <c r="H410" s="2" t="s">
        <v>14</v>
      </c>
      <c r="I410" s="1">
        <v>43721</v>
      </c>
      <c r="J410" t="str">
        <f ca="1">DATEDIF(Table2[[#This Row],[Join_Date]], TODAY(), "Y") &amp; "yrs"</f>
        <v>6yrs</v>
      </c>
      <c r="K410" t="str">
        <f>IF(Table2[[#This Row],[Age]]&lt;=19,"Teen",
   IF(Table2[[#This Row],[Age]]&lt;=35,"Young Adult",
      IF(Table2[[#This Row],[Age]]&lt;=55,"Middle-Age",
         "Old")))</f>
        <v>Middle-Age</v>
      </c>
      <c r="L410" t="str">
        <f>IF(Table2[[#This Row],[Income]]&lt;=30000,"Low",
   IF(Table2[[#This Row],[Income]]&lt;=60000,"Medium",
      IF(Table2[[#This Row],[Income]]&lt;=100000,"High",
         "Premium")))</f>
        <v>Premium</v>
      </c>
    </row>
    <row r="411" spans="1:12" x14ac:dyDescent="0.35">
      <c r="A411" t="s">
        <v>843</v>
      </c>
      <c r="B411" s="2" t="s">
        <v>844</v>
      </c>
      <c r="C411" s="2" t="s">
        <v>17</v>
      </c>
      <c r="D411" s="3">
        <v>33</v>
      </c>
      <c r="E411" s="2" t="s">
        <v>12</v>
      </c>
      <c r="F411" s="2" t="s">
        <v>42</v>
      </c>
      <c r="G411" s="4">
        <v>108397</v>
      </c>
      <c r="H411" s="2" t="s">
        <v>14</v>
      </c>
      <c r="I411" s="1">
        <v>42587</v>
      </c>
      <c r="J411" t="str">
        <f ca="1">DATEDIF(Table2[[#This Row],[Join_Date]], TODAY(), "Y") &amp; "yrs"</f>
        <v>9yrs</v>
      </c>
      <c r="K411" t="str">
        <f>IF(Table2[[#This Row],[Age]]&lt;=19,"Teen",
   IF(Table2[[#This Row],[Age]]&lt;=35,"Young Adult",
      IF(Table2[[#This Row],[Age]]&lt;=55,"Middle-Age",
         "Old")))</f>
        <v>Young Adult</v>
      </c>
      <c r="L411" t="str">
        <f>IF(Table2[[#This Row],[Income]]&lt;=30000,"Low",
   IF(Table2[[#This Row],[Income]]&lt;=60000,"Medium",
      IF(Table2[[#This Row],[Income]]&lt;=100000,"High",
         "Premium")))</f>
        <v>Premium</v>
      </c>
    </row>
    <row r="412" spans="1:12" x14ac:dyDescent="0.35">
      <c r="A412" t="s">
        <v>845</v>
      </c>
      <c r="B412" s="2" t="s">
        <v>846</v>
      </c>
      <c r="C412" s="2" t="s">
        <v>11</v>
      </c>
      <c r="D412" s="3">
        <v>25</v>
      </c>
      <c r="E412" s="2" t="s">
        <v>12</v>
      </c>
      <c r="F412" s="2" t="s">
        <v>37</v>
      </c>
      <c r="G412" s="4">
        <v>53142</v>
      </c>
      <c r="H412" s="2" t="s">
        <v>20</v>
      </c>
      <c r="I412" s="1">
        <v>43411</v>
      </c>
      <c r="J412" t="str">
        <f ca="1">DATEDIF(Table2[[#This Row],[Join_Date]], TODAY(), "Y") &amp; "yrs"</f>
        <v>7yrs</v>
      </c>
      <c r="K412" t="str">
        <f>IF(Table2[[#This Row],[Age]]&lt;=19,"Teen",
   IF(Table2[[#This Row],[Age]]&lt;=35,"Young Adult",
      IF(Table2[[#This Row],[Age]]&lt;=55,"Middle-Age",
         "Old")))</f>
        <v>Young Adult</v>
      </c>
      <c r="L412" t="str">
        <f>IF(Table2[[#This Row],[Income]]&lt;=30000,"Low",
   IF(Table2[[#This Row],[Income]]&lt;=60000,"Medium",
      IF(Table2[[#This Row],[Income]]&lt;=100000,"High",
         "Premium")))</f>
        <v>Medium</v>
      </c>
    </row>
    <row r="413" spans="1:12" x14ac:dyDescent="0.35">
      <c r="A413" t="s">
        <v>847</v>
      </c>
      <c r="B413" s="2" t="s">
        <v>848</v>
      </c>
      <c r="C413" s="2" t="s">
        <v>17</v>
      </c>
      <c r="D413" s="3">
        <v>55</v>
      </c>
      <c r="E413" s="2" t="s">
        <v>12</v>
      </c>
      <c r="F413" s="2" t="s">
        <v>13</v>
      </c>
      <c r="G413" s="4">
        <v>46916</v>
      </c>
      <c r="H413" s="2" t="s">
        <v>20</v>
      </c>
      <c r="I413" s="1">
        <v>45608</v>
      </c>
      <c r="J413" t="str">
        <f ca="1">DATEDIF(Table2[[#This Row],[Join_Date]], TODAY(), "Y") &amp; "yrs"</f>
        <v>1yrs</v>
      </c>
      <c r="K413" t="str">
        <f>IF(Table2[[#This Row],[Age]]&lt;=19,"Teen",
   IF(Table2[[#This Row],[Age]]&lt;=35,"Young Adult",
      IF(Table2[[#This Row],[Age]]&lt;=55,"Middle-Age",
         "Old")))</f>
        <v>Middle-Age</v>
      </c>
      <c r="L413" t="str">
        <f>IF(Table2[[#This Row],[Income]]&lt;=30000,"Low",
   IF(Table2[[#This Row],[Income]]&lt;=60000,"Medium",
      IF(Table2[[#This Row],[Income]]&lt;=100000,"High",
         "Premium")))</f>
        <v>Medium</v>
      </c>
    </row>
    <row r="414" spans="1:12" x14ac:dyDescent="0.35">
      <c r="A414" t="s">
        <v>849</v>
      </c>
      <c r="B414" s="2" t="s">
        <v>850</v>
      </c>
      <c r="C414" s="2" t="s">
        <v>17</v>
      </c>
      <c r="D414" s="3">
        <v>29</v>
      </c>
      <c r="E414" s="2" t="s">
        <v>18</v>
      </c>
      <c r="F414" s="2" t="s">
        <v>23</v>
      </c>
      <c r="G414" s="4">
        <v>84324</v>
      </c>
      <c r="H414" s="2" t="s">
        <v>14</v>
      </c>
      <c r="I414" s="1">
        <v>44965</v>
      </c>
      <c r="J414" t="str">
        <f ca="1">DATEDIF(Table2[[#This Row],[Join_Date]], TODAY(), "Y") &amp; "yrs"</f>
        <v>2yrs</v>
      </c>
      <c r="K414" t="str">
        <f>IF(Table2[[#This Row],[Age]]&lt;=19,"Teen",
   IF(Table2[[#This Row],[Age]]&lt;=35,"Young Adult",
      IF(Table2[[#This Row],[Age]]&lt;=55,"Middle-Age",
         "Old")))</f>
        <v>Young Adult</v>
      </c>
      <c r="L414" t="str">
        <f>IF(Table2[[#This Row],[Income]]&lt;=30000,"Low",
   IF(Table2[[#This Row],[Income]]&lt;=60000,"Medium",
      IF(Table2[[#This Row],[Income]]&lt;=100000,"High",
         "Premium")))</f>
        <v>High</v>
      </c>
    </row>
    <row r="415" spans="1:12" x14ac:dyDescent="0.35">
      <c r="A415" t="s">
        <v>851</v>
      </c>
      <c r="B415" s="2" t="s">
        <v>852</v>
      </c>
      <c r="C415" s="2" t="s">
        <v>11</v>
      </c>
      <c r="D415" s="3">
        <v>41</v>
      </c>
      <c r="E415" s="2" t="s">
        <v>18</v>
      </c>
      <c r="F415" s="2" t="s">
        <v>13</v>
      </c>
      <c r="G415" s="4">
        <v>196037</v>
      </c>
      <c r="H415" s="2" t="s">
        <v>20</v>
      </c>
      <c r="I415" s="1">
        <v>42457</v>
      </c>
      <c r="J415" t="str">
        <f ca="1">DATEDIF(Table2[[#This Row],[Join_Date]], TODAY(), "Y") &amp; "yrs"</f>
        <v>9yrs</v>
      </c>
      <c r="K415" t="str">
        <f>IF(Table2[[#This Row],[Age]]&lt;=19,"Teen",
   IF(Table2[[#This Row],[Age]]&lt;=35,"Young Adult",
      IF(Table2[[#This Row],[Age]]&lt;=55,"Middle-Age",
         "Old")))</f>
        <v>Middle-Age</v>
      </c>
      <c r="L415" t="str">
        <f>IF(Table2[[#This Row],[Income]]&lt;=30000,"Low",
   IF(Table2[[#This Row],[Income]]&lt;=60000,"Medium",
      IF(Table2[[#This Row],[Income]]&lt;=100000,"High",
         "Premium")))</f>
        <v>Premium</v>
      </c>
    </row>
    <row r="416" spans="1:12" x14ac:dyDescent="0.35">
      <c r="A416" t="s">
        <v>853</v>
      </c>
      <c r="B416" s="2" t="s">
        <v>854</v>
      </c>
      <c r="C416" s="2" t="s">
        <v>11</v>
      </c>
      <c r="D416" s="3">
        <v>45</v>
      </c>
      <c r="E416" s="2" t="s">
        <v>34</v>
      </c>
      <c r="F416" s="2" t="s">
        <v>42</v>
      </c>
      <c r="G416" s="4">
        <v>145932</v>
      </c>
      <c r="H416" s="2" t="s">
        <v>20</v>
      </c>
      <c r="I416" s="1">
        <v>45884</v>
      </c>
      <c r="J416" t="str">
        <f ca="1">DATEDIF(Table2[[#This Row],[Join_Date]], TODAY(), "Y") &amp; "yrs"</f>
        <v>0yrs</v>
      </c>
      <c r="K416" t="str">
        <f>IF(Table2[[#This Row],[Age]]&lt;=19,"Teen",
   IF(Table2[[#This Row],[Age]]&lt;=35,"Young Adult",
      IF(Table2[[#This Row],[Age]]&lt;=55,"Middle-Age",
         "Old")))</f>
        <v>Middle-Age</v>
      </c>
      <c r="L416" t="str">
        <f>IF(Table2[[#This Row],[Income]]&lt;=30000,"Low",
   IF(Table2[[#This Row],[Income]]&lt;=60000,"Medium",
      IF(Table2[[#This Row],[Income]]&lt;=100000,"High",
         "Premium")))</f>
        <v>Premium</v>
      </c>
    </row>
    <row r="417" spans="1:12" x14ac:dyDescent="0.35">
      <c r="A417" t="s">
        <v>855</v>
      </c>
      <c r="B417" s="2" t="s">
        <v>856</v>
      </c>
      <c r="C417" s="2" t="s">
        <v>11</v>
      </c>
      <c r="D417" s="3">
        <v>70</v>
      </c>
      <c r="E417" s="2" t="s">
        <v>34</v>
      </c>
      <c r="F417" s="2" t="s">
        <v>27</v>
      </c>
      <c r="G417" s="4">
        <v>155720</v>
      </c>
      <c r="H417" s="2" t="s">
        <v>20</v>
      </c>
      <c r="I417" s="1">
        <v>43022</v>
      </c>
      <c r="J417" t="str">
        <f ca="1">DATEDIF(Table2[[#This Row],[Join_Date]], TODAY(), "Y") &amp; "yrs"</f>
        <v>8yrs</v>
      </c>
      <c r="K417" t="str">
        <f>IF(Table2[[#This Row],[Age]]&lt;=19,"Teen",
   IF(Table2[[#This Row],[Age]]&lt;=35,"Young Adult",
      IF(Table2[[#This Row],[Age]]&lt;=55,"Middle-Age",
         "Old")))</f>
        <v>Old</v>
      </c>
      <c r="L417" t="str">
        <f>IF(Table2[[#This Row],[Income]]&lt;=30000,"Low",
   IF(Table2[[#This Row],[Income]]&lt;=60000,"Medium",
      IF(Table2[[#This Row],[Income]]&lt;=100000,"High",
         "Premium")))</f>
        <v>Premium</v>
      </c>
    </row>
    <row r="418" spans="1:12" x14ac:dyDescent="0.35">
      <c r="A418" t="s">
        <v>857</v>
      </c>
      <c r="B418" s="2" t="s">
        <v>858</v>
      </c>
      <c r="C418" s="2" t="s">
        <v>11</v>
      </c>
      <c r="D418" s="3">
        <v>25</v>
      </c>
      <c r="E418" s="2" t="s">
        <v>12</v>
      </c>
      <c r="F418" s="2" t="s">
        <v>23</v>
      </c>
      <c r="G418" s="4">
        <v>186205</v>
      </c>
      <c r="H418" s="2" t="s">
        <v>24</v>
      </c>
      <c r="I418" s="1">
        <v>45595</v>
      </c>
      <c r="J418" t="str">
        <f ca="1">DATEDIF(Table2[[#This Row],[Join_Date]], TODAY(), "Y") &amp; "yrs"</f>
        <v>1yrs</v>
      </c>
      <c r="K418" t="str">
        <f>IF(Table2[[#This Row],[Age]]&lt;=19,"Teen",
   IF(Table2[[#This Row],[Age]]&lt;=35,"Young Adult",
      IF(Table2[[#This Row],[Age]]&lt;=55,"Middle-Age",
         "Old")))</f>
        <v>Young Adult</v>
      </c>
      <c r="L418" t="str">
        <f>IF(Table2[[#This Row],[Income]]&lt;=30000,"Low",
   IF(Table2[[#This Row],[Income]]&lt;=60000,"Medium",
      IF(Table2[[#This Row],[Income]]&lt;=100000,"High",
         "Premium")))</f>
        <v>Premium</v>
      </c>
    </row>
    <row r="419" spans="1:12" x14ac:dyDescent="0.35">
      <c r="A419" t="s">
        <v>859</v>
      </c>
      <c r="B419" s="2" t="s">
        <v>860</v>
      </c>
      <c r="C419" s="2" t="s">
        <v>17</v>
      </c>
      <c r="D419" s="3">
        <v>45</v>
      </c>
      <c r="E419" s="2" t="s">
        <v>30</v>
      </c>
      <c r="F419" s="2" t="s">
        <v>42</v>
      </c>
      <c r="G419" s="4">
        <v>116059</v>
      </c>
      <c r="H419" s="2" t="s">
        <v>14</v>
      </c>
      <c r="I419" s="1">
        <v>43432</v>
      </c>
      <c r="J419" t="str">
        <f ca="1">DATEDIF(Table2[[#This Row],[Join_Date]], TODAY(), "Y") &amp; "yrs"</f>
        <v>7yrs</v>
      </c>
      <c r="K419" t="str">
        <f>IF(Table2[[#This Row],[Age]]&lt;=19,"Teen",
   IF(Table2[[#This Row],[Age]]&lt;=35,"Young Adult",
      IF(Table2[[#This Row],[Age]]&lt;=55,"Middle-Age",
         "Old")))</f>
        <v>Middle-Age</v>
      </c>
      <c r="L419" t="str">
        <f>IF(Table2[[#This Row],[Income]]&lt;=30000,"Low",
   IF(Table2[[#This Row],[Income]]&lt;=60000,"Medium",
      IF(Table2[[#This Row],[Income]]&lt;=100000,"High",
         "Premium")))</f>
        <v>Premium</v>
      </c>
    </row>
    <row r="420" spans="1:12" x14ac:dyDescent="0.35">
      <c r="A420" t="s">
        <v>861</v>
      </c>
      <c r="B420" s="2" t="s">
        <v>862</v>
      </c>
      <c r="C420" s="2" t="s">
        <v>17</v>
      </c>
      <c r="D420" s="3">
        <v>53</v>
      </c>
      <c r="E420" s="2" t="s">
        <v>30</v>
      </c>
      <c r="F420" s="2" t="s">
        <v>31</v>
      </c>
      <c r="G420" s="4">
        <v>118317</v>
      </c>
      <c r="H420" s="2" t="s">
        <v>20</v>
      </c>
      <c r="I420" s="1">
        <v>42802</v>
      </c>
      <c r="J420" t="str">
        <f ca="1">DATEDIF(Table2[[#This Row],[Join_Date]], TODAY(), "Y") &amp; "yrs"</f>
        <v>8yrs</v>
      </c>
      <c r="K420" t="str">
        <f>IF(Table2[[#This Row],[Age]]&lt;=19,"Teen",
   IF(Table2[[#This Row],[Age]]&lt;=35,"Young Adult",
      IF(Table2[[#This Row],[Age]]&lt;=55,"Middle-Age",
         "Old")))</f>
        <v>Middle-Age</v>
      </c>
      <c r="L420" t="str">
        <f>IF(Table2[[#This Row],[Income]]&lt;=30000,"Low",
   IF(Table2[[#This Row],[Income]]&lt;=60000,"Medium",
      IF(Table2[[#This Row],[Income]]&lt;=100000,"High",
         "Premium")))</f>
        <v>Premium</v>
      </c>
    </row>
    <row r="421" spans="1:12" x14ac:dyDescent="0.35">
      <c r="A421" t="s">
        <v>863</v>
      </c>
      <c r="B421" s="2" t="s">
        <v>864</v>
      </c>
      <c r="C421" s="2" t="s">
        <v>17</v>
      </c>
      <c r="D421" s="3">
        <v>43</v>
      </c>
      <c r="E421" s="2" t="s">
        <v>18</v>
      </c>
      <c r="F421" s="2" t="s">
        <v>19</v>
      </c>
      <c r="G421" s="4">
        <v>55046</v>
      </c>
      <c r="H421" s="2" t="s">
        <v>14</v>
      </c>
      <c r="I421" s="1">
        <v>44313</v>
      </c>
      <c r="J421" t="str">
        <f ca="1">DATEDIF(Table2[[#This Row],[Join_Date]], TODAY(), "Y") &amp; "yrs"</f>
        <v>4yrs</v>
      </c>
      <c r="K421" t="str">
        <f>IF(Table2[[#This Row],[Age]]&lt;=19,"Teen",
   IF(Table2[[#This Row],[Age]]&lt;=35,"Young Adult",
      IF(Table2[[#This Row],[Age]]&lt;=55,"Middle-Age",
         "Old")))</f>
        <v>Middle-Age</v>
      </c>
      <c r="L421" t="str">
        <f>IF(Table2[[#This Row],[Income]]&lt;=30000,"Low",
   IF(Table2[[#This Row],[Income]]&lt;=60000,"Medium",
      IF(Table2[[#This Row],[Income]]&lt;=100000,"High",
         "Premium")))</f>
        <v>Medium</v>
      </c>
    </row>
    <row r="422" spans="1:12" x14ac:dyDescent="0.35">
      <c r="A422" t="s">
        <v>865</v>
      </c>
      <c r="B422" s="2" t="s">
        <v>866</v>
      </c>
      <c r="C422" s="2" t="s">
        <v>17</v>
      </c>
      <c r="D422" s="3">
        <v>25</v>
      </c>
      <c r="E422" s="2" t="s">
        <v>18</v>
      </c>
      <c r="F422" s="2" t="s">
        <v>42</v>
      </c>
      <c r="G422" s="4">
        <v>198136</v>
      </c>
      <c r="H422" s="2" t="s">
        <v>20</v>
      </c>
      <c r="I422" s="1">
        <v>42565</v>
      </c>
      <c r="J422" t="str">
        <f ca="1">DATEDIF(Table2[[#This Row],[Join_Date]], TODAY(), "Y") &amp; "yrs"</f>
        <v>9yrs</v>
      </c>
      <c r="K422" t="str">
        <f>IF(Table2[[#This Row],[Age]]&lt;=19,"Teen",
   IF(Table2[[#This Row],[Age]]&lt;=35,"Young Adult",
      IF(Table2[[#This Row],[Age]]&lt;=55,"Middle-Age",
         "Old")))</f>
        <v>Young Adult</v>
      </c>
      <c r="L422" t="str">
        <f>IF(Table2[[#This Row],[Income]]&lt;=30000,"Low",
   IF(Table2[[#This Row],[Income]]&lt;=60000,"Medium",
      IF(Table2[[#This Row],[Income]]&lt;=100000,"High",
         "Premium")))</f>
        <v>Premium</v>
      </c>
    </row>
    <row r="423" spans="1:12" x14ac:dyDescent="0.35">
      <c r="A423" t="s">
        <v>867</v>
      </c>
      <c r="B423" s="2" t="s">
        <v>868</v>
      </c>
      <c r="C423" s="2" t="s">
        <v>17</v>
      </c>
      <c r="D423" s="3">
        <v>67</v>
      </c>
      <c r="E423" s="2" t="s">
        <v>18</v>
      </c>
      <c r="F423" s="2" t="s">
        <v>13</v>
      </c>
      <c r="G423" s="4">
        <v>121459</v>
      </c>
      <c r="H423" s="2" t="s">
        <v>20</v>
      </c>
      <c r="I423" s="1">
        <v>44523</v>
      </c>
      <c r="J423" t="str">
        <f ca="1">DATEDIF(Table2[[#This Row],[Join_Date]], TODAY(), "Y") &amp; "yrs"</f>
        <v>4yrs</v>
      </c>
      <c r="K423" t="str">
        <f>IF(Table2[[#This Row],[Age]]&lt;=19,"Teen",
   IF(Table2[[#This Row],[Age]]&lt;=35,"Young Adult",
      IF(Table2[[#This Row],[Age]]&lt;=55,"Middle-Age",
         "Old")))</f>
        <v>Old</v>
      </c>
      <c r="L423" t="str">
        <f>IF(Table2[[#This Row],[Income]]&lt;=30000,"Low",
   IF(Table2[[#This Row],[Income]]&lt;=60000,"Medium",
      IF(Table2[[#This Row],[Income]]&lt;=100000,"High",
         "Premium")))</f>
        <v>Premium</v>
      </c>
    </row>
    <row r="424" spans="1:12" x14ac:dyDescent="0.35">
      <c r="A424" t="s">
        <v>869</v>
      </c>
      <c r="B424" s="2" t="s">
        <v>870</v>
      </c>
      <c r="C424" s="2" t="s">
        <v>17</v>
      </c>
      <c r="D424" s="3">
        <v>45</v>
      </c>
      <c r="E424" s="2" t="s">
        <v>34</v>
      </c>
      <c r="F424" s="2" t="s">
        <v>23</v>
      </c>
      <c r="G424" s="4">
        <v>65893</v>
      </c>
      <c r="H424" s="2" t="s">
        <v>20</v>
      </c>
      <c r="I424" s="1">
        <v>44513</v>
      </c>
      <c r="J424" t="str">
        <f ca="1">DATEDIF(Table2[[#This Row],[Join_Date]], TODAY(), "Y") &amp; "yrs"</f>
        <v>4yrs</v>
      </c>
      <c r="K424" t="str">
        <f>IF(Table2[[#This Row],[Age]]&lt;=19,"Teen",
   IF(Table2[[#This Row],[Age]]&lt;=35,"Young Adult",
      IF(Table2[[#This Row],[Age]]&lt;=55,"Middle-Age",
         "Old")))</f>
        <v>Middle-Age</v>
      </c>
      <c r="L424" t="str">
        <f>IF(Table2[[#This Row],[Income]]&lt;=30000,"Low",
   IF(Table2[[#This Row],[Income]]&lt;=60000,"Medium",
      IF(Table2[[#This Row],[Income]]&lt;=100000,"High",
         "Premium")))</f>
        <v>High</v>
      </c>
    </row>
    <row r="425" spans="1:12" x14ac:dyDescent="0.35">
      <c r="A425" t="s">
        <v>871</v>
      </c>
      <c r="B425" s="2" t="s">
        <v>870</v>
      </c>
      <c r="C425" s="2" t="s">
        <v>11</v>
      </c>
      <c r="D425" s="3">
        <v>45</v>
      </c>
      <c r="E425" s="2" t="s">
        <v>34</v>
      </c>
      <c r="F425" s="2" t="s">
        <v>13</v>
      </c>
      <c r="G425" s="4">
        <v>121520</v>
      </c>
      <c r="H425" s="2" t="s">
        <v>20</v>
      </c>
      <c r="I425" s="1">
        <v>44111</v>
      </c>
      <c r="J425" t="str">
        <f ca="1">DATEDIF(Table2[[#This Row],[Join_Date]], TODAY(), "Y") &amp; "yrs"</f>
        <v>5yrs</v>
      </c>
      <c r="K425" t="str">
        <f>IF(Table2[[#This Row],[Age]]&lt;=19,"Teen",
   IF(Table2[[#This Row],[Age]]&lt;=35,"Young Adult",
      IF(Table2[[#This Row],[Age]]&lt;=55,"Middle-Age",
         "Old")))</f>
        <v>Middle-Age</v>
      </c>
      <c r="L425" t="str">
        <f>IF(Table2[[#This Row],[Income]]&lt;=30000,"Low",
   IF(Table2[[#This Row],[Income]]&lt;=60000,"Medium",
      IF(Table2[[#This Row],[Income]]&lt;=100000,"High",
         "Premium")))</f>
        <v>Premium</v>
      </c>
    </row>
    <row r="426" spans="1:12" x14ac:dyDescent="0.35">
      <c r="A426" t="s">
        <v>872</v>
      </c>
      <c r="B426" s="2" t="s">
        <v>873</v>
      </c>
      <c r="C426" s="2" t="s">
        <v>17</v>
      </c>
      <c r="D426" s="3">
        <v>54</v>
      </c>
      <c r="E426" s="2" t="s">
        <v>18</v>
      </c>
      <c r="F426" s="2" t="s">
        <v>23</v>
      </c>
      <c r="G426" s="4">
        <v>145818</v>
      </c>
      <c r="H426" s="2" t="s">
        <v>14</v>
      </c>
      <c r="I426" s="1">
        <v>42917</v>
      </c>
      <c r="J426" t="str">
        <f ca="1">DATEDIF(Table2[[#This Row],[Join_Date]], TODAY(), "Y") &amp; "yrs"</f>
        <v>8yrs</v>
      </c>
      <c r="K426" t="str">
        <f>IF(Table2[[#This Row],[Age]]&lt;=19,"Teen",
   IF(Table2[[#This Row],[Age]]&lt;=35,"Young Adult",
      IF(Table2[[#This Row],[Age]]&lt;=55,"Middle-Age",
         "Old")))</f>
        <v>Middle-Age</v>
      </c>
      <c r="L426" t="str">
        <f>IF(Table2[[#This Row],[Income]]&lt;=30000,"Low",
   IF(Table2[[#This Row],[Income]]&lt;=60000,"Medium",
      IF(Table2[[#This Row],[Income]]&lt;=100000,"High",
         "Premium")))</f>
        <v>Premium</v>
      </c>
    </row>
    <row r="427" spans="1:12" x14ac:dyDescent="0.35">
      <c r="A427" t="s">
        <v>874</v>
      </c>
      <c r="B427" s="2" t="s">
        <v>875</v>
      </c>
      <c r="C427" s="2" t="s">
        <v>11</v>
      </c>
      <c r="D427" s="3">
        <v>58</v>
      </c>
      <c r="E427" s="2" t="s">
        <v>18</v>
      </c>
      <c r="F427" s="2" t="s">
        <v>42</v>
      </c>
      <c r="G427" s="4">
        <v>81272</v>
      </c>
      <c r="H427" s="2" t="s">
        <v>14</v>
      </c>
      <c r="I427" s="1">
        <v>42747</v>
      </c>
      <c r="J427" t="str">
        <f ca="1">DATEDIF(Table2[[#This Row],[Join_Date]], TODAY(), "Y") &amp; "yrs"</f>
        <v>9yrs</v>
      </c>
      <c r="K427" t="str">
        <f>IF(Table2[[#This Row],[Age]]&lt;=19,"Teen",
   IF(Table2[[#This Row],[Age]]&lt;=35,"Young Adult",
      IF(Table2[[#This Row],[Age]]&lt;=55,"Middle-Age",
         "Old")))</f>
        <v>Old</v>
      </c>
      <c r="L427" t="str">
        <f>IF(Table2[[#This Row],[Income]]&lt;=30000,"Low",
   IF(Table2[[#This Row],[Income]]&lt;=60000,"Medium",
      IF(Table2[[#This Row],[Income]]&lt;=100000,"High",
         "Premium")))</f>
        <v>High</v>
      </c>
    </row>
    <row r="428" spans="1:12" x14ac:dyDescent="0.35">
      <c r="A428" t="s">
        <v>876</v>
      </c>
      <c r="B428" s="2" t="s">
        <v>877</v>
      </c>
      <c r="C428" s="2" t="s">
        <v>11</v>
      </c>
      <c r="D428" s="3">
        <v>53</v>
      </c>
      <c r="E428" s="2" t="s">
        <v>18</v>
      </c>
      <c r="F428" s="2" t="s">
        <v>37</v>
      </c>
      <c r="G428" s="4">
        <v>87649</v>
      </c>
      <c r="H428" s="2" t="s">
        <v>24</v>
      </c>
      <c r="I428" s="1">
        <v>45052</v>
      </c>
      <c r="J428" t="str">
        <f ca="1">DATEDIF(Table2[[#This Row],[Join_Date]], TODAY(), "Y") &amp; "yrs"</f>
        <v>2yrs</v>
      </c>
      <c r="K428" t="str">
        <f>IF(Table2[[#This Row],[Age]]&lt;=19,"Teen",
   IF(Table2[[#This Row],[Age]]&lt;=35,"Young Adult",
      IF(Table2[[#This Row],[Age]]&lt;=55,"Middle-Age",
         "Old")))</f>
        <v>Middle-Age</v>
      </c>
      <c r="L428" t="str">
        <f>IF(Table2[[#This Row],[Income]]&lt;=30000,"Low",
   IF(Table2[[#This Row],[Income]]&lt;=60000,"Medium",
      IF(Table2[[#This Row],[Income]]&lt;=100000,"High",
         "Premium")))</f>
        <v>High</v>
      </c>
    </row>
    <row r="429" spans="1:12" x14ac:dyDescent="0.35">
      <c r="A429" t="s">
        <v>878</v>
      </c>
      <c r="B429" s="2" t="s">
        <v>879</v>
      </c>
      <c r="C429" s="2" t="s">
        <v>17</v>
      </c>
      <c r="D429" s="3">
        <v>44</v>
      </c>
      <c r="E429" s="2" t="s">
        <v>30</v>
      </c>
      <c r="F429" s="2" t="s">
        <v>31</v>
      </c>
      <c r="G429" s="4">
        <v>84674</v>
      </c>
      <c r="H429" s="2" t="s">
        <v>24</v>
      </c>
      <c r="I429" s="1">
        <v>43617</v>
      </c>
      <c r="J429" t="str">
        <f ca="1">DATEDIF(Table2[[#This Row],[Join_Date]], TODAY(), "Y") &amp; "yrs"</f>
        <v>6yrs</v>
      </c>
      <c r="K429" t="str">
        <f>IF(Table2[[#This Row],[Age]]&lt;=19,"Teen",
   IF(Table2[[#This Row],[Age]]&lt;=35,"Young Adult",
      IF(Table2[[#This Row],[Age]]&lt;=55,"Middle-Age",
         "Old")))</f>
        <v>Middle-Age</v>
      </c>
      <c r="L429" t="str">
        <f>IF(Table2[[#This Row],[Income]]&lt;=30000,"Low",
   IF(Table2[[#This Row],[Income]]&lt;=60000,"Medium",
      IF(Table2[[#This Row],[Income]]&lt;=100000,"High",
         "Premium")))</f>
        <v>High</v>
      </c>
    </row>
    <row r="430" spans="1:12" x14ac:dyDescent="0.35">
      <c r="A430" t="s">
        <v>880</v>
      </c>
      <c r="B430" s="2" t="s">
        <v>881</v>
      </c>
      <c r="C430" s="2" t="s">
        <v>11</v>
      </c>
      <c r="D430" s="3">
        <v>71</v>
      </c>
      <c r="E430" s="2" t="s">
        <v>34</v>
      </c>
      <c r="F430" s="2" t="s">
        <v>42</v>
      </c>
      <c r="G430" s="4">
        <v>164832</v>
      </c>
      <c r="H430" s="2" t="s">
        <v>14</v>
      </c>
      <c r="I430" s="1">
        <v>42971</v>
      </c>
      <c r="J430" t="str">
        <f ca="1">DATEDIF(Table2[[#This Row],[Join_Date]], TODAY(), "Y") &amp; "yrs"</f>
        <v>8yrs</v>
      </c>
      <c r="K430" t="str">
        <f>IF(Table2[[#This Row],[Age]]&lt;=19,"Teen",
   IF(Table2[[#This Row],[Age]]&lt;=35,"Young Adult",
      IF(Table2[[#This Row],[Age]]&lt;=55,"Middle-Age",
         "Old")))</f>
        <v>Old</v>
      </c>
      <c r="L430" t="str">
        <f>IF(Table2[[#This Row],[Income]]&lt;=30000,"Low",
   IF(Table2[[#This Row],[Income]]&lt;=60000,"Medium",
      IF(Table2[[#This Row],[Income]]&lt;=100000,"High",
         "Premium")))</f>
        <v>Premium</v>
      </c>
    </row>
    <row r="431" spans="1:12" x14ac:dyDescent="0.35">
      <c r="A431" t="s">
        <v>882</v>
      </c>
      <c r="B431" s="2" t="s">
        <v>883</v>
      </c>
      <c r="C431" s="2" t="s">
        <v>17</v>
      </c>
      <c r="D431" s="3">
        <v>34</v>
      </c>
      <c r="E431" s="2" t="s">
        <v>30</v>
      </c>
      <c r="F431" s="2" t="s">
        <v>13</v>
      </c>
      <c r="G431" s="4">
        <v>172999</v>
      </c>
      <c r="H431" s="2" t="s">
        <v>14</v>
      </c>
      <c r="I431" s="1">
        <v>42894</v>
      </c>
      <c r="J431" t="str">
        <f ca="1">DATEDIF(Table2[[#This Row],[Join_Date]], TODAY(), "Y") &amp; "yrs"</f>
        <v>8yrs</v>
      </c>
      <c r="K431" t="str">
        <f>IF(Table2[[#This Row],[Age]]&lt;=19,"Teen",
   IF(Table2[[#This Row],[Age]]&lt;=35,"Young Adult",
      IF(Table2[[#This Row],[Age]]&lt;=55,"Middle-Age",
         "Old")))</f>
        <v>Young Adult</v>
      </c>
      <c r="L431" t="str">
        <f>IF(Table2[[#This Row],[Income]]&lt;=30000,"Low",
   IF(Table2[[#This Row],[Income]]&lt;=60000,"Medium",
      IF(Table2[[#This Row],[Income]]&lt;=100000,"High",
         "Premium")))</f>
        <v>Premium</v>
      </c>
    </row>
    <row r="432" spans="1:12" x14ac:dyDescent="0.35">
      <c r="A432" t="s">
        <v>884</v>
      </c>
      <c r="B432" s="2" t="s">
        <v>885</v>
      </c>
      <c r="C432" s="2" t="s">
        <v>11</v>
      </c>
      <c r="D432" s="3">
        <v>26</v>
      </c>
      <c r="E432" s="2" t="s">
        <v>30</v>
      </c>
      <c r="F432" s="2" t="s">
        <v>19</v>
      </c>
      <c r="G432" s="4">
        <v>106475</v>
      </c>
      <c r="H432" s="2" t="s">
        <v>14</v>
      </c>
      <c r="I432" s="1">
        <v>45133</v>
      </c>
      <c r="J432" t="str">
        <f ca="1">DATEDIF(Table2[[#This Row],[Join_Date]], TODAY(), "Y") &amp; "yrs"</f>
        <v>2yrs</v>
      </c>
      <c r="K432" t="str">
        <f>IF(Table2[[#This Row],[Age]]&lt;=19,"Teen",
   IF(Table2[[#This Row],[Age]]&lt;=35,"Young Adult",
      IF(Table2[[#This Row],[Age]]&lt;=55,"Middle-Age",
         "Old")))</f>
        <v>Young Adult</v>
      </c>
      <c r="L432" t="str">
        <f>IF(Table2[[#This Row],[Income]]&lt;=30000,"Low",
   IF(Table2[[#This Row],[Income]]&lt;=60000,"Medium",
      IF(Table2[[#This Row],[Income]]&lt;=100000,"High",
         "Premium")))</f>
        <v>Premium</v>
      </c>
    </row>
    <row r="433" spans="1:12" x14ac:dyDescent="0.35">
      <c r="A433" t="s">
        <v>886</v>
      </c>
      <c r="B433" s="2" t="s">
        <v>887</v>
      </c>
      <c r="C433" s="2" t="s">
        <v>17</v>
      </c>
      <c r="D433" s="3">
        <v>50</v>
      </c>
      <c r="E433" s="2" t="s">
        <v>18</v>
      </c>
      <c r="F433" s="2" t="s">
        <v>19</v>
      </c>
      <c r="G433" s="4">
        <v>81367</v>
      </c>
      <c r="H433" s="2" t="s">
        <v>20</v>
      </c>
      <c r="I433" s="1">
        <v>42887</v>
      </c>
      <c r="J433" t="str">
        <f ca="1">DATEDIF(Table2[[#This Row],[Join_Date]], TODAY(), "Y") &amp; "yrs"</f>
        <v>8yrs</v>
      </c>
      <c r="K433" t="str">
        <f>IF(Table2[[#This Row],[Age]]&lt;=19,"Teen",
   IF(Table2[[#This Row],[Age]]&lt;=35,"Young Adult",
      IF(Table2[[#This Row],[Age]]&lt;=55,"Middle-Age",
         "Old")))</f>
        <v>Middle-Age</v>
      </c>
      <c r="L433" t="str">
        <f>IF(Table2[[#This Row],[Income]]&lt;=30000,"Low",
   IF(Table2[[#This Row],[Income]]&lt;=60000,"Medium",
      IF(Table2[[#This Row],[Income]]&lt;=100000,"High",
         "Premium")))</f>
        <v>High</v>
      </c>
    </row>
    <row r="434" spans="1:12" x14ac:dyDescent="0.35">
      <c r="A434" t="s">
        <v>888</v>
      </c>
      <c r="B434" s="2" t="s">
        <v>889</v>
      </c>
      <c r="C434" s="2" t="s">
        <v>11</v>
      </c>
      <c r="D434" s="3">
        <v>70</v>
      </c>
      <c r="E434" s="2" t="s">
        <v>18</v>
      </c>
      <c r="F434" s="2" t="s">
        <v>27</v>
      </c>
      <c r="G434" s="4">
        <v>163660</v>
      </c>
      <c r="H434" s="2" t="s">
        <v>20</v>
      </c>
      <c r="I434" s="1">
        <v>43774</v>
      </c>
      <c r="J434" t="str">
        <f ca="1">DATEDIF(Table2[[#This Row],[Join_Date]], TODAY(), "Y") &amp; "yrs"</f>
        <v>6yrs</v>
      </c>
      <c r="K434" t="str">
        <f>IF(Table2[[#This Row],[Age]]&lt;=19,"Teen",
   IF(Table2[[#This Row],[Age]]&lt;=35,"Young Adult",
      IF(Table2[[#This Row],[Age]]&lt;=55,"Middle-Age",
         "Old")))</f>
        <v>Old</v>
      </c>
      <c r="L434" t="str">
        <f>IF(Table2[[#This Row],[Income]]&lt;=30000,"Low",
   IF(Table2[[#This Row],[Income]]&lt;=60000,"Medium",
      IF(Table2[[#This Row],[Income]]&lt;=100000,"High",
         "Premium")))</f>
        <v>Premium</v>
      </c>
    </row>
    <row r="435" spans="1:12" x14ac:dyDescent="0.35">
      <c r="A435" t="s">
        <v>890</v>
      </c>
      <c r="B435" s="2" t="s">
        <v>891</v>
      </c>
      <c r="C435" s="2" t="s">
        <v>17</v>
      </c>
      <c r="D435" s="3">
        <v>37</v>
      </c>
      <c r="E435" s="2" t="s">
        <v>12</v>
      </c>
      <c r="F435" s="2" t="s">
        <v>23</v>
      </c>
      <c r="G435" s="4">
        <v>141750</v>
      </c>
      <c r="H435" s="2" t="s">
        <v>14</v>
      </c>
      <c r="I435" s="1">
        <v>43599</v>
      </c>
      <c r="J435" t="str">
        <f ca="1">DATEDIF(Table2[[#This Row],[Join_Date]], TODAY(), "Y") &amp; "yrs"</f>
        <v>6yrs</v>
      </c>
      <c r="K435" t="str">
        <f>IF(Table2[[#This Row],[Age]]&lt;=19,"Teen",
   IF(Table2[[#This Row],[Age]]&lt;=35,"Young Adult",
      IF(Table2[[#This Row],[Age]]&lt;=55,"Middle-Age",
         "Old")))</f>
        <v>Middle-Age</v>
      </c>
      <c r="L435" t="str">
        <f>IF(Table2[[#This Row],[Income]]&lt;=30000,"Low",
   IF(Table2[[#This Row],[Income]]&lt;=60000,"Medium",
      IF(Table2[[#This Row],[Income]]&lt;=100000,"High",
         "Premium")))</f>
        <v>Premium</v>
      </c>
    </row>
    <row r="436" spans="1:12" x14ac:dyDescent="0.35">
      <c r="A436" t="s">
        <v>892</v>
      </c>
      <c r="B436" s="2" t="s">
        <v>893</v>
      </c>
      <c r="C436" s="2" t="s">
        <v>17</v>
      </c>
      <c r="D436" s="3">
        <v>30</v>
      </c>
      <c r="E436" s="2" t="s">
        <v>12</v>
      </c>
      <c r="F436" s="2" t="s">
        <v>13</v>
      </c>
      <c r="G436" s="4">
        <v>138154</v>
      </c>
      <c r="H436" s="2" t="s">
        <v>14</v>
      </c>
      <c r="I436" s="1">
        <v>44896</v>
      </c>
      <c r="J436" t="str">
        <f ca="1">DATEDIF(Table2[[#This Row],[Join_Date]], TODAY(), "Y") &amp; "yrs"</f>
        <v>3yrs</v>
      </c>
      <c r="K436" t="str">
        <f>IF(Table2[[#This Row],[Age]]&lt;=19,"Teen",
   IF(Table2[[#This Row],[Age]]&lt;=35,"Young Adult",
      IF(Table2[[#This Row],[Age]]&lt;=55,"Middle-Age",
         "Old")))</f>
        <v>Young Adult</v>
      </c>
      <c r="L436" t="str">
        <f>IF(Table2[[#This Row],[Income]]&lt;=30000,"Low",
   IF(Table2[[#This Row],[Income]]&lt;=60000,"Medium",
      IF(Table2[[#This Row],[Income]]&lt;=100000,"High",
         "Premium")))</f>
        <v>Premium</v>
      </c>
    </row>
    <row r="437" spans="1:12" x14ac:dyDescent="0.35">
      <c r="A437" t="s">
        <v>894</v>
      </c>
      <c r="B437" s="2" t="s">
        <v>895</v>
      </c>
      <c r="C437" s="2" t="s">
        <v>17</v>
      </c>
      <c r="D437" s="3">
        <v>45</v>
      </c>
      <c r="E437" s="2" t="s">
        <v>30</v>
      </c>
      <c r="F437" s="2" t="s">
        <v>27</v>
      </c>
      <c r="G437" s="4">
        <v>64738</v>
      </c>
      <c r="H437" s="2" t="s">
        <v>20</v>
      </c>
      <c r="I437" s="1">
        <v>43760</v>
      </c>
      <c r="J437" t="str">
        <f ca="1">DATEDIF(Table2[[#This Row],[Join_Date]], TODAY(), "Y") &amp; "yrs"</f>
        <v>6yrs</v>
      </c>
      <c r="K437" t="str">
        <f>IF(Table2[[#This Row],[Age]]&lt;=19,"Teen",
   IF(Table2[[#This Row],[Age]]&lt;=35,"Young Adult",
      IF(Table2[[#This Row],[Age]]&lt;=55,"Middle-Age",
         "Old")))</f>
        <v>Middle-Age</v>
      </c>
      <c r="L437" t="str">
        <f>IF(Table2[[#This Row],[Income]]&lt;=30000,"Low",
   IF(Table2[[#This Row],[Income]]&lt;=60000,"Medium",
      IF(Table2[[#This Row],[Income]]&lt;=100000,"High",
         "Premium")))</f>
        <v>High</v>
      </c>
    </row>
    <row r="438" spans="1:12" x14ac:dyDescent="0.35">
      <c r="A438" t="s">
        <v>896</v>
      </c>
      <c r="B438" s="2" t="s">
        <v>897</v>
      </c>
      <c r="C438" s="2" t="s">
        <v>17</v>
      </c>
      <c r="D438" s="3">
        <v>65</v>
      </c>
      <c r="E438" s="2" t="s">
        <v>34</v>
      </c>
      <c r="F438" s="2" t="s">
        <v>13</v>
      </c>
      <c r="G438" s="4">
        <v>53397</v>
      </c>
      <c r="H438" s="2" t="s">
        <v>20</v>
      </c>
      <c r="I438" s="1">
        <v>45281</v>
      </c>
      <c r="J438" t="str">
        <f ca="1">DATEDIF(Table2[[#This Row],[Join_Date]], TODAY(), "Y") &amp; "yrs"</f>
        <v>2yrs</v>
      </c>
      <c r="K438" t="str">
        <f>IF(Table2[[#This Row],[Age]]&lt;=19,"Teen",
   IF(Table2[[#This Row],[Age]]&lt;=35,"Young Adult",
      IF(Table2[[#This Row],[Age]]&lt;=55,"Middle-Age",
         "Old")))</f>
        <v>Old</v>
      </c>
      <c r="L438" t="str">
        <f>IF(Table2[[#This Row],[Income]]&lt;=30000,"Low",
   IF(Table2[[#This Row],[Income]]&lt;=60000,"Medium",
      IF(Table2[[#This Row],[Income]]&lt;=100000,"High",
         "Premium")))</f>
        <v>Medium</v>
      </c>
    </row>
    <row r="439" spans="1:12" x14ac:dyDescent="0.35">
      <c r="A439" t="s">
        <v>898</v>
      </c>
      <c r="B439" s="2" t="s">
        <v>899</v>
      </c>
      <c r="C439" s="2" t="s">
        <v>17</v>
      </c>
      <c r="D439" s="3">
        <v>46</v>
      </c>
      <c r="E439" s="2" t="s">
        <v>18</v>
      </c>
      <c r="F439" s="2" t="s">
        <v>23</v>
      </c>
      <c r="G439" s="4">
        <v>102189</v>
      </c>
      <c r="H439" s="2" t="s">
        <v>14</v>
      </c>
      <c r="I439" s="1">
        <v>45037</v>
      </c>
      <c r="J439" t="str">
        <f ca="1">DATEDIF(Table2[[#This Row],[Join_Date]], TODAY(), "Y") &amp; "yrs"</f>
        <v>2yrs</v>
      </c>
      <c r="K439" t="str">
        <f>IF(Table2[[#This Row],[Age]]&lt;=19,"Teen",
   IF(Table2[[#This Row],[Age]]&lt;=35,"Young Adult",
      IF(Table2[[#This Row],[Age]]&lt;=55,"Middle-Age",
         "Old")))</f>
        <v>Middle-Age</v>
      </c>
      <c r="L439" t="str">
        <f>IF(Table2[[#This Row],[Income]]&lt;=30000,"Low",
   IF(Table2[[#This Row],[Income]]&lt;=60000,"Medium",
      IF(Table2[[#This Row],[Income]]&lt;=100000,"High",
         "Premium")))</f>
        <v>Premium</v>
      </c>
    </row>
    <row r="440" spans="1:12" x14ac:dyDescent="0.35">
      <c r="A440" t="s">
        <v>900</v>
      </c>
      <c r="B440" s="2" t="s">
        <v>901</v>
      </c>
      <c r="C440" s="2" t="s">
        <v>11</v>
      </c>
      <c r="D440" s="3">
        <v>30</v>
      </c>
      <c r="E440" s="2" t="s">
        <v>18</v>
      </c>
      <c r="F440" s="2" t="s">
        <v>42</v>
      </c>
      <c r="G440" s="4">
        <v>96367</v>
      </c>
      <c r="H440" s="2" t="s">
        <v>14</v>
      </c>
      <c r="I440" s="1">
        <v>45328</v>
      </c>
      <c r="J440" t="str">
        <f ca="1">DATEDIF(Table2[[#This Row],[Join_Date]], TODAY(), "Y") &amp; "yrs"</f>
        <v>1yrs</v>
      </c>
      <c r="K440" t="str">
        <f>IF(Table2[[#This Row],[Age]]&lt;=19,"Teen",
   IF(Table2[[#This Row],[Age]]&lt;=35,"Young Adult",
      IF(Table2[[#This Row],[Age]]&lt;=55,"Middle-Age",
         "Old")))</f>
        <v>Young Adult</v>
      </c>
      <c r="L440" t="str">
        <f>IF(Table2[[#This Row],[Income]]&lt;=30000,"Low",
   IF(Table2[[#This Row],[Income]]&lt;=60000,"Medium",
      IF(Table2[[#This Row],[Income]]&lt;=100000,"High",
         "Premium")))</f>
        <v>High</v>
      </c>
    </row>
    <row r="441" spans="1:12" x14ac:dyDescent="0.35">
      <c r="A441" t="s">
        <v>902</v>
      </c>
      <c r="B441" s="2" t="s">
        <v>903</v>
      </c>
      <c r="C441" s="2" t="s">
        <v>11</v>
      </c>
      <c r="D441" s="3">
        <v>63</v>
      </c>
      <c r="E441" s="2" t="s">
        <v>30</v>
      </c>
      <c r="F441" s="2" t="s">
        <v>42</v>
      </c>
      <c r="G441" s="4">
        <v>140585</v>
      </c>
      <c r="H441" s="2" t="s">
        <v>14</v>
      </c>
      <c r="I441" s="1">
        <v>43274</v>
      </c>
      <c r="J441" t="str">
        <f ca="1">DATEDIF(Table2[[#This Row],[Join_Date]], TODAY(), "Y") &amp; "yrs"</f>
        <v>7yrs</v>
      </c>
      <c r="K441" t="str">
        <f>IF(Table2[[#This Row],[Age]]&lt;=19,"Teen",
   IF(Table2[[#This Row],[Age]]&lt;=35,"Young Adult",
      IF(Table2[[#This Row],[Age]]&lt;=55,"Middle-Age",
         "Old")))</f>
        <v>Old</v>
      </c>
      <c r="L441" t="str">
        <f>IF(Table2[[#This Row],[Income]]&lt;=30000,"Low",
   IF(Table2[[#This Row],[Income]]&lt;=60000,"Medium",
      IF(Table2[[#This Row],[Income]]&lt;=100000,"High",
         "Premium")))</f>
        <v>Premium</v>
      </c>
    </row>
    <row r="442" spans="1:12" x14ac:dyDescent="0.35">
      <c r="A442" t="s">
        <v>904</v>
      </c>
      <c r="B442" s="2" t="s">
        <v>905</v>
      </c>
      <c r="C442" s="2" t="s">
        <v>11</v>
      </c>
      <c r="D442" s="3">
        <v>52</v>
      </c>
      <c r="E442" s="2" t="s">
        <v>12</v>
      </c>
      <c r="F442" s="2" t="s">
        <v>19</v>
      </c>
      <c r="G442" s="4">
        <v>96619</v>
      </c>
      <c r="H442" s="2" t="s">
        <v>14</v>
      </c>
      <c r="I442" s="1">
        <v>44964</v>
      </c>
      <c r="J442" t="str">
        <f ca="1">DATEDIF(Table2[[#This Row],[Join_Date]], TODAY(), "Y") &amp; "yrs"</f>
        <v>2yrs</v>
      </c>
      <c r="K442" t="str">
        <f>IF(Table2[[#This Row],[Age]]&lt;=19,"Teen",
   IF(Table2[[#This Row],[Age]]&lt;=35,"Young Adult",
      IF(Table2[[#This Row],[Age]]&lt;=55,"Middle-Age",
         "Old")))</f>
        <v>Middle-Age</v>
      </c>
      <c r="L442" t="str">
        <f>IF(Table2[[#This Row],[Income]]&lt;=30000,"Low",
   IF(Table2[[#This Row],[Income]]&lt;=60000,"Medium",
      IF(Table2[[#This Row],[Income]]&lt;=100000,"High",
         "Premium")))</f>
        <v>High</v>
      </c>
    </row>
    <row r="443" spans="1:12" x14ac:dyDescent="0.35">
      <c r="A443" t="s">
        <v>906</v>
      </c>
      <c r="B443" s="2" t="s">
        <v>907</v>
      </c>
      <c r="C443" s="2" t="s">
        <v>17</v>
      </c>
      <c r="D443" s="3">
        <v>23</v>
      </c>
      <c r="E443" s="2" t="s">
        <v>34</v>
      </c>
      <c r="F443" s="2" t="s">
        <v>42</v>
      </c>
      <c r="G443" s="4">
        <v>131453</v>
      </c>
      <c r="H443" s="2" t="s">
        <v>14</v>
      </c>
      <c r="I443" s="1">
        <v>44692</v>
      </c>
      <c r="J443" t="str">
        <f ca="1">DATEDIF(Table2[[#This Row],[Join_Date]], TODAY(), "Y") &amp; "yrs"</f>
        <v>3yrs</v>
      </c>
      <c r="K443" t="str">
        <f>IF(Table2[[#This Row],[Age]]&lt;=19,"Teen",
   IF(Table2[[#This Row],[Age]]&lt;=35,"Young Adult",
      IF(Table2[[#This Row],[Age]]&lt;=55,"Middle-Age",
         "Old")))</f>
        <v>Young Adult</v>
      </c>
      <c r="L443" t="str">
        <f>IF(Table2[[#This Row],[Income]]&lt;=30000,"Low",
   IF(Table2[[#This Row],[Income]]&lt;=60000,"Medium",
      IF(Table2[[#This Row],[Income]]&lt;=100000,"High",
         "Premium")))</f>
        <v>Premium</v>
      </c>
    </row>
    <row r="444" spans="1:12" x14ac:dyDescent="0.35">
      <c r="A444" t="s">
        <v>908</v>
      </c>
      <c r="B444" s="2" t="s">
        <v>909</v>
      </c>
      <c r="C444" s="2" t="s">
        <v>11</v>
      </c>
      <c r="D444" s="3">
        <v>35</v>
      </c>
      <c r="E444" s="2" t="s">
        <v>12</v>
      </c>
      <c r="F444" s="2" t="s">
        <v>42</v>
      </c>
      <c r="G444" s="4">
        <v>39816</v>
      </c>
      <c r="H444" s="2" t="s">
        <v>20</v>
      </c>
      <c r="I444" s="1">
        <v>43285</v>
      </c>
      <c r="J444" t="str">
        <f ca="1">DATEDIF(Table2[[#This Row],[Join_Date]], TODAY(), "Y") &amp; "yrs"</f>
        <v>7yrs</v>
      </c>
      <c r="K444" t="str">
        <f>IF(Table2[[#This Row],[Age]]&lt;=19,"Teen",
   IF(Table2[[#This Row],[Age]]&lt;=35,"Young Adult",
      IF(Table2[[#This Row],[Age]]&lt;=55,"Middle-Age",
         "Old")))</f>
        <v>Young Adult</v>
      </c>
      <c r="L444" t="str">
        <f>IF(Table2[[#This Row],[Income]]&lt;=30000,"Low",
   IF(Table2[[#This Row],[Income]]&lt;=60000,"Medium",
      IF(Table2[[#This Row],[Income]]&lt;=100000,"High",
         "Premium")))</f>
        <v>Medium</v>
      </c>
    </row>
    <row r="445" spans="1:12" x14ac:dyDescent="0.35">
      <c r="A445" t="s">
        <v>910</v>
      </c>
      <c r="B445" s="2" t="s">
        <v>911</v>
      </c>
      <c r="C445" s="2" t="s">
        <v>17</v>
      </c>
      <c r="D445" s="3">
        <v>68</v>
      </c>
      <c r="E445" s="2" t="s">
        <v>12</v>
      </c>
      <c r="F445" s="2" t="s">
        <v>37</v>
      </c>
      <c r="G445" s="4">
        <v>193312</v>
      </c>
      <c r="H445" s="2" t="s">
        <v>20</v>
      </c>
      <c r="I445" s="1">
        <v>43074</v>
      </c>
      <c r="J445" t="str">
        <f ca="1">DATEDIF(Table2[[#This Row],[Join_Date]], TODAY(), "Y") &amp; "yrs"</f>
        <v>8yrs</v>
      </c>
      <c r="K445" t="str">
        <f>IF(Table2[[#This Row],[Age]]&lt;=19,"Teen",
   IF(Table2[[#This Row],[Age]]&lt;=35,"Young Adult",
      IF(Table2[[#This Row],[Age]]&lt;=55,"Middle-Age",
         "Old")))</f>
        <v>Old</v>
      </c>
      <c r="L445" t="str">
        <f>IF(Table2[[#This Row],[Income]]&lt;=30000,"Low",
   IF(Table2[[#This Row],[Income]]&lt;=60000,"Medium",
      IF(Table2[[#This Row],[Income]]&lt;=100000,"High",
         "Premium")))</f>
        <v>Premium</v>
      </c>
    </row>
    <row r="446" spans="1:12" x14ac:dyDescent="0.35">
      <c r="A446" t="s">
        <v>912</v>
      </c>
      <c r="B446" s="2" t="s">
        <v>913</v>
      </c>
      <c r="C446" s="2" t="s">
        <v>17</v>
      </c>
      <c r="D446" s="3">
        <v>22</v>
      </c>
      <c r="E446" s="2" t="s">
        <v>12</v>
      </c>
      <c r="F446" s="2" t="s">
        <v>19</v>
      </c>
      <c r="G446" s="4">
        <v>157348</v>
      </c>
      <c r="H446" s="2" t="s">
        <v>20</v>
      </c>
      <c r="I446" s="1">
        <v>44666</v>
      </c>
      <c r="J446" t="str">
        <f ca="1">DATEDIF(Table2[[#This Row],[Join_Date]], TODAY(), "Y") &amp; "yrs"</f>
        <v>3yrs</v>
      </c>
      <c r="K446" t="str">
        <f>IF(Table2[[#This Row],[Age]]&lt;=19,"Teen",
   IF(Table2[[#This Row],[Age]]&lt;=35,"Young Adult",
      IF(Table2[[#This Row],[Age]]&lt;=55,"Middle-Age",
         "Old")))</f>
        <v>Young Adult</v>
      </c>
      <c r="L446" t="str">
        <f>IF(Table2[[#This Row],[Income]]&lt;=30000,"Low",
   IF(Table2[[#This Row],[Income]]&lt;=60000,"Medium",
      IF(Table2[[#This Row],[Income]]&lt;=100000,"High",
         "Premium")))</f>
        <v>Premium</v>
      </c>
    </row>
    <row r="447" spans="1:12" x14ac:dyDescent="0.35">
      <c r="A447" t="s">
        <v>914</v>
      </c>
      <c r="B447" s="2" t="s">
        <v>915</v>
      </c>
      <c r="C447" s="2" t="s">
        <v>11</v>
      </c>
      <c r="D447" s="3">
        <v>64</v>
      </c>
      <c r="E447" s="2" t="s">
        <v>12</v>
      </c>
      <c r="F447" s="2" t="s">
        <v>27</v>
      </c>
      <c r="G447" s="4">
        <v>99530</v>
      </c>
      <c r="H447" s="2" t="s">
        <v>20</v>
      </c>
      <c r="I447" s="1">
        <v>44459</v>
      </c>
      <c r="J447" t="str">
        <f ca="1">DATEDIF(Table2[[#This Row],[Join_Date]], TODAY(), "Y") &amp; "yrs"</f>
        <v>4yrs</v>
      </c>
      <c r="K447" t="str">
        <f>IF(Table2[[#This Row],[Age]]&lt;=19,"Teen",
   IF(Table2[[#This Row],[Age]]&lt;=35,"Young Adult",
      IF(Table2[[#This Row],[Age]]&lt;=55,"Middle-Age",
         "Old")))</f>
        <v>Old</v>
      </c>
      <c r="L447" t="str">
        <f>IF(Table2[[#This Row],[Income]]&lt;=30000,"Low",
   IF(Table2[[#This Row],[Income]]&lt;=60000,"Medium",
      IF(Table2[[#This Row],[Income]]&lt;=100000,"High",
         "Premium")))</f>
        <v>High</v>
      </c>
    </row>
    <row r="448" spans="1:12" x14ac:dyDescent="0.35">
      <c r="A448" t="s">
        <v>916</v>
      </c>
      <c r="B448" s="2" t="s">
        <v>917</v>
      </c>
      <c r="C448" s="2" t="s">
        <v>11</v>
      </c>
      <c r="D448" s="3">
        <v>42</v>
      </c>
      <c r="E448" s="2" t="s">
        <v>18</v>
      </c>
      <c r="F448" s="2" t="s">
        <v>31</v>
      </c>
      <c r="G448" s="4">
        <v>174571</v>
      </c>
      <c r="H448" s="2" t="s">
        <v>14</v>
      </c>
      <c r="I448" s="1">
        <v>44994</v>
      </c>
      <c r="J448" t="str">
        <f ca="1">DATEDIF(Table2[[#This Row],[Join_Date]], TODAY(), "Y") &amp; "yrs"</f>
        <v>2yrs</v>
      </c>
      <c r="K448" t="str">
        <f>IF(Table2[[#This Row],[Age]]&lt;=19,"Teen",
   IF(Table2[[#This Row],[Age]]&lt;=35,"Young Adult",
      IF(Table2[[#This Row],[Age]]&lt;=55,"Middle-Age",
         "Old")))</f>
        <v>Middle-Age</v>
      </c>
      <c r="L448" t="str">
        <f>IF(Table2[[#This Row],[Income]]&lt;=30000,"Low",
   IF(Table2[[#This Row],[Income]]&lt;=60000,"Medium",
      IF(Table2[[#This Row],[Income]]&lt;=100000,"High",
         "Premium")))</f>
        <v>Premium</v>
      </c>
    </row>
    <row r="449" spans="1:12" x14ac:dyDescent="0.35">
      <c r="A449" t="s">
        <v>918</v>
      </c>
      <c r="B449" s="2" t="s">
        <v>919</v>
      </c>
      <c r="C449" s="2" t="s">
        <v>17</v>
      </c>
      <c r="D449" s="3">
        <v>19</v>
      </c>
      <c r="E449" s="2" t="s">
        <v>18</v>
      </c>
      <c r="F449" s="2" t="s">
        <v>37</v>
      </c>
      <c r="G449" s="4">
        <v>128856</v>
      </c>
      <c r="H449" s="2" t="s">
        <v>14</v>
      </c>
      <c r="I449" s="1">
        <v>44493</v>
      </c>
      <c r="J449" t="str">
        <f ca="1">DATEDIF(Table2[[#This Row],[Join_Date]], TODAY(), "Y") &amp; "yrs"</f>
        <v>4yrs</v>
      </c>
      <c r="K449" t="str">
        <f>IF(Table2[[#This Row],[Age]]&lt;=19,"Teen",
   IF(Table2[[#This Row],[Age]]&lt;=35,"Young Adult",
      IF(Table2[[#This Row],[Age]]&lt;=55,"Middle-Age",
         "Old")))</f>
        <v>Teen</v>
      </c>
      <c r="L449" t="str">
        <f>IF(Table2[[#This Row],[Income]]&lt;=30000,"Low",
   IF(Table2[[#This Row],[Income]]&lt;=60000,"Medium",
      IF(Table2[[#This Row],[Income]]&lt;=100000,"High",
         "Premium")))</f>
        <v>Premium</v>
      </c>
    </row>
    <row r="450" spans="1:12" x14ac:dyDescent="0.35">
      <c r="A450" t="s">
        <v>920</v>
      </c>
      <c r="B450" s="2" t="s">
        <v>921</v>
      </c>
      <c r="C450" s="2" t="s">
        <v>11</v>
      </c>
      <c r="D450" s="3">
        <v>27</v>
      </c>
      <c r="E450" s="2" t="s">
        <v>12</v>
      </c>
      <c r="F450" s="2" t="s">
        <v>27</v>
      </c>
      <c r="G450" s="4">
        <v>91635</v>
      </c>
      <c r="H450" s="2" t="s">
        <v>14</v>
      </c>
      <c r="I450" s="1">
        <v>44032</v>
      </c>
      <c r="J450" t="str">
        <f ca="1">DATEDIF(Table2[[#This Row],[Join_Date]], TODAY(), "Y") &amp; "yrs"</f>
        <v>5yrs</v>
      </c>
      <c r="K450" t="str">
        <f>IF(Table2[[#This Row],[Age]]&lt;=19,"Teen",
   IF(Table2[[#This Row],[Age]]&lt;=35,"Young Adult",
      IF(Table2[[#This Row],[Age]]&lt;=55,"Middle-Age",
         "Old")))</f>
        <v>Young Adult</v>
      </c>
      <c r="L450" t="str">
        <f>IF(Table2[[#This Row],[Income]]&lt;=30000,"Low",
   IF(Table2[[#This Row],[Income]]&lt;=60000,"Medium",
      IF(Table2[[#This Row],[Income]]&lt;=100000,"High",
         "Premium")))</f>
        <v>High</v>
      </c>
    </row>
    <row r="451" spans="1:12" x14ac:dyDescent="0.35">
      <c r="A451" t="s">
        <v>922</v>
      </c>
      <c r="B451" s="2" t="s">
        <v>923</v>
      </c>
      <c r="C451" s="2" t="s">
        <v>17</v>
      </c>
      <c r="D451" s="3">
        <v>73</v>
      </c>
      <c r="E451" s="2" t="s">
        <v>34</v>
      </c>
      <c r="F451" s="2" t="s">
        <v>23</v>
      </c>
      <c r="G451" s="4">
        <v>127803</v>
      </c>
      <c r="H451" s="2" t="s">
        <v>14</v>
      </c>
      <c r="I451" s="1">
        <v>45486</v>
      </c>
      <c r="J451" t="str">
        <f ca="1">DATEDIF(Table2[[#This Row],[Join_Date]], TODAY(), "Y") &amp; "yrs"</f>
        <v>1yrs</v>
      </c>
      <c r="K451" t="str">
        <f>IF(Table2[[#This Row],[Age]]&lt;=19,"Teen",
   IF(Table2[[#This Row],[Age]]&lt;=35,"Young Adult",
      IF(Table2[[#This Row],[Age]]&lt;=55,"Middle-Age",
         "Old")))</f>
        <v>Old</v>
      </c>
      <c r="L451" t="str">
        <f>IF(Table2[[#This Row],[Income]]&lt;=30000,"Low",
   IF(Table2[[#This Row],[Income]]&lt;=60000,"Medium",
      IF(Table2[[#This Row],[Income]]&lt;=100000,"High",
         "Premium")))</f>
        <v>Premium</v>
      </c>
    </row>
    <row r="452" spans="1:12" x14ac:dyDescent="0.35">
      <c r="A452" t="s">
        <v>924</v>
      </c>
      <c r="B452" s="2" t="s">
        <v>925</v>
      </c>
      <c r="C452" s="2" t="s">
        <v>17</v>
      </c>
      <c r="D452" s="3">
        <v>47</v>
      </c>
      <c r="E452" s="2" t="s">
        <v>30</v>
      </c>
      <c r="F452" s="2" t="s">
        <v>37</v>
      </c>
      <c r="G452" s="4">
        <v>55946</v>
      </c>
      <c r="H452" s="2" t="s">
        <v>20</v>
      </c>
      <c r="I452" s="1">
        <v>42580</v>
      </c>
      <c r="J452" t="str">
        <f ca="1">DATEDIF(Table2[[#This Row],[Join_Date]], TODAY(), "Y") &amp; "yrs"</f>
        <v>9yrs</v>
      </c>
      <c r="K452" t="str">
        <f>IF(Table2[[#This Row],[Age]]&lt;=19,"Teen",
   IF(Table2[[#This Row],[Age]]&lt;=35,"Young Adult",
      IF(Table2[[#This Row],[Age]]&lt;=55,"Middle-Age",
         "Old")))</f>
        <v>Middle-Age</v>
      </c>
      <c r="L452" t="str">
        <f>IF(Table2[[#This Row],[Income]]&lt;=30000,"Low",
   IF(Table2[[#This Row],[Income]]&lt;=60000,"Medium",
      IF(Table2[[#This Row],[Income]]&lt;=100000,"High",
         "Premium")))</f>
        <v>Medium</v>
      </c>
    </row>
    <row r="453" spans="1:12" x14ac:dyDescent="0.35">
      <c r="A453" t="s">
        <v>926</v>
      </c>
      <c r="B453" s="2" t="s">
        <v>927</v>
      </c>
      <c r="C453" s="2" t="s">
        <v>17</v>
      </c>
      <c r="D453" s="3">
        <v>67</v>
      </c>
      <c r="E453" s="2" t="s">
        <v>34</v>
      </c>
      <c r="F453" s="2" t="s">
        <v>27</v>
      </c>
      <c r="G453" s="4">
        <v>75204</v>
      </c>
      <c r="H453" s="2" t="s">
        <v>24</v>
      </c>
      <c r="I453" s="1">
        <v>45412</v>
      </c>
      <c r="J453" t="str">
        <f ca="1">DATEDIF(Table2[[#This Row],[Join_Date]], TODAY(), "Y") &amp; "yrs"</f>
        <v>1yrs</v>
      </c>
      <c r="K453" t="str">
        <f>IF(Table2[[#This Row],[Age]]&lt;=19,"Teen",
   IF(Table2[[#This Row],[Age]]&lt;=35,"Young Adult",
      IF(Table2[[#This Row],[Age]]&lt;=55,"Middle-Age",
         "Old")))</f>
        <v>Old</v>
      </c>
      <c r="L453" t="str">
        <f>IF(Table2[[#This Row],[Income]]&lt;=30000,"Low",
   IF(Table2[[#This Row],[Income]]&lt;=60000,"Medium",
      IF(Table2[[#This Row],[Income]]&lt;=100000,"High",
         "Premium")))</f>
        <v>High</v>
      </c>
    </row>
    <row r="454" spans="1:12" x14ac:dyDescent="0.35">
      <c r="A454" t="s">
        <v>928</v>
      </c>
      <c r="B454" s="2" t="s">
        <v>929</v>
      </c>
      <c r="C454" s="2" t="s">
        <v>17</v>
      </c>
      <c r="D454" s="3">
        <v>62</v>
      </c>
      <c r="E454" s="2" t="s">
        <v>34</v>
      </c>
      <c r="F454" s="2" t="s">
        <v>23</v>
      </c>
      <c r="G454" s="4">
        <v>35563</v>
      </c>
      <c r="H454" s="2" t="s">
        <v>14</v>
      </c>
      <c r="I454" s="1">
        <v>43669</v>
      </c>
      <c r="J454" t="str">
        <f ca="1">DATEDIF(Table2[[#This Row],[Join_Date]], TODAY(), "Y") &amp; "yrs"</f>
        <v>6yrs</v>
      </c>
      <c r="K454" t="str">
        <f>IF(Table2[[#This Row],[Age]]&lt;=19,"Teen",
   IF(Table2[[#This Row],[Age]]&lt;=35,"Young Adult",
      IF(Table2[[#This Row],[Age]]&lt;=55,"Middle-Age",
         "Old")))</f>
        <v>Old</v>
      </c>
      <c r="L454" t="str">
        <f>IF(Table2[[#This Row],[Income]]&lt;=30000,"Low",
   IF(Table2[[#This Row],[Income]]&lt;=60000,"Medium",
      IF(Table2[[#This Row],[Income]]&lt;=100000,"High",
         "Premium")))</f>
        <v>Medium</v>
      </c>
    </row>
    <row r="455" spans="1:12" x14ac:dyDescent="0.35">
      <c r="A455" t="s">
        <v>930</v>
      </c>
      <c r="B455" s="2" t="s">
        <v>931</v>
      </c>
      <c r="C455" s="2" t="s">
        <v>17</v>
      </c>
      <c r="D455" s="3">
        <v>22</v>
      </c>
      <c r="E455" s="2" t="s">
        <v>34</v>
      </c>
      <c r="F455" s="2" t="s">
        <v>19</v>
      </c>
      <c r="G455" s="4">
        <v>112324</v>
      </c>
      <c r="H455" s="2" t="s">
        <v>14</v>
      </c>
      <c r="I455" s="1">
        <v>43074</v>
      </c>
      <c r="J455" t="str">
        <f ca="1">DATEDIF(Table2[[#This Row],[Join_Date]], TODAY(), "Y") &amp; "yrs"</f>
        <v>8yrs</v>
      </c>
      <c r="K455" t="str">
        <f>IF(Table2[[#This Row],[Age]]&lt;=19,"Teen",
   IF(Table2[[#This Row],[Age]]&lt;=35,"Young Adult",
      IF(Table2[[#This Row],[Age]]&lt;=55,"Middle-Age",
         "Old")))</f>
        <v>Young Adult</v>
      </c>
      <c r="L455" t="str">
        <f>IF(Table2[[#This Row],[Income]]&lt;=30000,"Low",
   IF(Table2[[#This Row],[Income]]&lt;=60000,"Medium",
      IF(Table2[[#This Row],[Income]]&lt;=100000,"High",
         "Premium")))</f>
        <v>Premium</v>
      </c>
    </row>
    <row r="456" spans="1:12" x14ac:dyDescent="0.35">
      <c r="A456" t="s">
        <v>932</v>
      </c>
      <c r="B456" s="2" t="s">
        <v>933</v>
      </c>
      <c r="C456" s="2" t="s">
        <v>11</v>
      </c>
      <c r="D456" s="3">
        <v>72</v>
      </c>
      <c r="E456" s="2" t="s">
        <v>12</v>
      </c>
      <c r="F456" s="2" t="s">
        <v>31</v>
      </c>
      <c r="G456" s="4">
        <v>29847</v>
      </c>
      <c r="H456" s="2" t="s">
        <v>20</v>
      </c>
      <c r="I456" s="1">
        <v>44557</v>
      </c>
      <c r="J456" t="str">
        <f ca="1">DATEDIF(Table2[[#This Row],[Join_Date]], TODAY(), "Y") &amp; "yrs"</f>
        <v>4yrs</v>
      </c>
      <c r="K456" t="str">
        <f>IF(Table2[[#This Row],[Age]]&lt;=19,"Teen",
   IF(Table2[[#This Row],[Age]]&lt;=35,"Young Adult",
      IF(Table2[[#This Row],[Age]]&lt;=55,"Middle-Age",
         "Old")))</f>
        <v>Old</v>
      </c>
      <c r="L456" t="str">
        <f>IF(Table2[[#This Row],[Income]]&lt;=30000,"Low",
   IF(Table2[[#This Row],[Income]]&lt;=60000,"Medium",
      IF(Table2[[#This Row],[Income]]&lt;=100000,"High",
         "Premium")))</f>
        <v>Low</v>
      </c>
    </row>
    <row r="457" spans="1:12" x14ac:dyDescent="0.35">
      <c r="A457" t="s">
        <v>934</v>
      </c>
      <c r="B457" s="2" t="s">
        <v>935</v>
      </c>
      <c r="C457" s="2" t="s">
        <v>11</v>
      </c>
      <c r="D457" s="3">
        <v>73</v>
      </c>
      <c r="E457" s="2" t="s">
        <v>18</v>
      </c>
      <c r="F457" s="2" t="s">
        <v>23</v>
      </c>
      <c r="G457" s="4">
        <v>46155</v>
      </c>
      <c r="H457" s="2" t="s">
        <v>14</v>
      </c>
      <c r="I457" s="1">
        <v>42386</v>
      </c>
      <c r="J457" t="str">
        <f ca="1">DATEDIF(Table2[[#This Row],[Join_Date]], TODAY(), "Y") &amp; "yrs"</f>
        <v>10yrs</v>
      </c>
      <c r="K457" t="str">
        <f>IF(Table2[[#This Row],[Age]]&lt;=19,"Teen",
   IF(Table2[[#This Row],[Age]]&lt;=35,"Young Adult",
      IF(Table2[[#This Row],[Age]]&lt;=55,"Middle-Age",
         "Old")))</f>
        <v>Old</v>
      </c>
      <c r="L457" t="str">
        <f>IF(Table2[[#This Row],[Income]]&lt;=30000,"Low",
   IF(Table2[[#This Row],[Income]]&lt;=60000,"Medium",
      IF(Table2[[#This Row],[Income]]&lt;=100000,"High",
         "Premium")))</f>
        <v>Medium</v>
      </c>
    </row>
    <row r="458" spans="1:12" x14ac:dyDescent="0.35">
      <c r="A458" t="s">
        <v>936</v>
      </c>
      <c r="B458" s="2" t="s">
        <v>937</v>
      </c>
      <c r="C458" s="2" t="s">
        <v>17</v>
      </c>
      <c r="D458" s="3">
        <v>50</v>
      </c>
      <c r="E458" s="2" t="s">
        <v>34</v>
      </c>
      <c r="F458" s="2" t="s">
        <v>42</v>
      </c>
      <c r="G458" s="4">
        <v>99671</v>
      </c>
      <c r="H458" s="2" t="s">
        <v>14</v>
      </c>
      <c r="I458" s="1">
        <v>42416</v>
      </c>
      <c r="J458" t="str">
        <f ca="1">DATEDIF(Table2[[#This Row],[Join_Date]], TODAY(), "Y") &amp; "yrs"</f>
        <v>9yrs</v>
      </c>
      <c r="K458" t="str">
        <f>IF(Table2[[#This Row],[Age]]&lt;=19,"Teen",
   IF(Table2[[#This Row],[Age]]&lt;=35,"Young Adult",
      IF(Table2[[#This Row],[Age]]&lt;=55,"Middle-Age",
         "Old")))</f>
        <v>Middle-Age</v>
      </c>
      <c r="L458" t="str">
        <f>IF(Table2[[#This Row],[Income]]&lt;=30000,"Low",
   IF(Table2[[#This Row],[Income]]&lt;=60000,"Medium",
      IF(Table2[[#This Row],[Income]]&lt;=100000,"High",
         "Premium")))</f>
        <v>High</v>
      </c>
    </row>
    <row r="459" spans="1:12" x14ac:dyDescent="0.35">
      <c r="A459" t="s">
        <v>938</v>
      </c>
      <c r="B459" s="2" t="s">
        <v>939</v>
      </c>
      <c r="C459" s="2" t="s">
        <v>17</v>
      </c>
      <c r="D459" s="3">
        <v>71</v>
      </c>
      <c r="E459" s="2" t="s">
        <v>12</v>
      </c>
      <c r="F459" s="2" t="s">
        <v>13</v>
      </c>
      <c r="G459" s="4">
        <v>136891</v>
      </c>
      <c r="H459" s="2" t="s">
        <v>20</v>
      </c>
      <c r="I459" s="1">
        <v>45469</v>
      </c>
      <c r="J459" t="str">
        <f ca="1">DATEDIF(Table2[[#This Row],[Join_Date]], TODAY(), "Y") &amp; "yrs"</f>
        <v>1yrs</v>
      </c>
      <c r="K459" t="str">
        <f>IF(Table2[[#This Row],[Age]]&lt;=19,"Teen",
   IF(Table2[[#This Row],[Age]]&lt;=35,"Young Adult",
      IF(Table2[[#This Row],[Age]]&lt;=55,"Middle-Age",
         "Old")))</f>
        <v>Old</v>
      </c>
      <c r="L459" t="str">
        <f>IF(Table2[[#This Row],[Income]]&lt;=30000,"Low",
   IF(Table2[[#This Row],[Income]]&lt;=60000,"Medium",
      IF(Table2[[#This Row],[Income]]&lt;=100000,"High",
         "Premium")))</f>
        <v>Premium</v>
      </c>
    </row>
    <row r="460" spans="1:12" x14ac:dyDescent="0.35">
      <c r="A460" t="s">
        <v>940</v>
      </c>
      <c r="B460" s="2" t="s">
        <v>941</v>
      </c>
      <c r="C460" s="2" t="s">
        <v>11</v>
      </c>
      <c r="D460" s="3">
        <v>18</v>
      </c>
      <c r="E460" s="2" t="s">
        <v>34</v>
      </c>
      <c r="F460" s="2" t="s">
        <v>23</v>
      </c>
      <c r="G460" s="4">
        <v>103310</v>
      </c>
      <c r="H460" s="2" t="s">
        <v>20</v>
      </c>
      <c r="I460" s="1">
        <v>43849</v>
      </c>
      <c r="J460" t="str">
        <f ca="1">DATEDIF(Table2[[#This Row],[Join_Date]], TODAY(), "Y") &amp; "yrs"</f>
        <v>6yrs</v>
      </c>
      <c r="K460" t="str">
        <f>IF(Table2[[#This Row],[Age]]&lt;=19,"Teen",
   IF(Table2[[#This Row],[Age]]&lt;=35,"Young Adult",
      IF(Table2[[#This Row],[Age]]&lt;=55,"Middle-Age",
         "Old")))</f>
        <v>Teen</v>
      </c>
      <c r="L460" t="str">
        <f>IF(Table2[[#This Row],[Income]]&lt;=30000,"Low",
   IF(Table2[[#This Row],[Income]]&lt;=60000,"Medium",
      IF(Table2[[#This Row],[Income]]&lt;=100000,"High",
         "Premium")))</f>
        <v>Premium</v>
      </c>
    </row>
    <row r="461" spans="1:12" x14ac:dyDescent="0.35">
      <c r="A461" t="s">
        <v>942</v>
      </c>
      <c r="B461" s="2" t="s">
        <v>943</v>
      </c>
      <c r="C461" s="2" t="s">
        <v>11</v>
      </c>
      <c r="D461" s="3">
        <v>35</v>
      </c>
      <c r="E461" s="2" t="s">
        <v>34</v>
      </c>
      <c r="F461" s="2" t="s">
        <v>23</v>
      </c>
      <c r="G461" s="4">
        <v>169381</v>
      </c>
      <c r="H461" s="2" t="s">
        <v>14</v>
      </c>
      <c r="I461" s="1">
        <v>44357</v>
      </c>
      <c r="J461" t="str">
        <f ca="1">DATEDIF(Table2[[#This Row],[Join_Date]], TODAY(), "Y") &amp; "yrs"</f>
        <v>4yrs</v>
      </c>
      <c r="K461" t="str">
        <f>IF(Table2[[#This Row],[Age]]&lt;=19,"Teen",
   IF(Table2[[#This Row],[Age]]&lt;=35,"Young Adult",
      IF(Table2[[#This Row],[Age]]&lt;=55,"Middle-Age",
         "Old")))</f>
        <v>Young Adult</v>
      </c>
      <c r="L461" t="str">
        <f>IF(Table2[[#This Row],[Income]]&lt;=30000,"Low",
   IF(Table2[[#This Row],[Income]]&lt;=60000,"Medium",
      IF(Table2[[#This Row],[Income]]&lt;=100000,"High",
         "Premium")))</f>
        <v>Premium</v>
      </c>
    </row>
    <row r="462" spans="1:12" x14ac:dyDescent="0.35">
      <c r="A462" t="s">
        <v>944</v>
      </c>
      <c r="B462" s="2" t="s">
        <v>945</v>
      </c>
      <c r="C462" s="2" t="s">
        <v>17</v>
      </c>
      <c r="D462" s="3">
        <v>49</v>
      </c>
      <c r="E462" s="2" t="s">
        <v>12</v>
      </c>
      <c r="F462" s="2" t="s">
        <v>31</v>
      </c>
      <c r="G462" s="4">
        <v>151691</v>
      </c>
      <c r="H462" s="2" t="s">
        <v>14</v>
      </c>
      <c r="I462" s="1">
        <v>43401</v>
      </c>
      <c r="J462" t="str">
        <f ca="1">DATEDIF(Table2[[#This Row],[Join_Date]], TODAY(), "Y") &amp; "yrs"</f>
        <v>7yrs</v>
      </c>
      <c r="K462" t="str">
        <f>IF(Table2[[#This Row],[Age]]&lt;=19,"Teen",
   IF(Table2[[#This Row],[Age]]&lt;=35,"Young Adult",
      IF(Table2[[#This Row],[Age]]&lt;=55,"Middle-Age",
         "Old")))</f>
        <v>Middle-Age</v>
      </c>
      <c r="L462" t="str">
        <f>IF(Table2[[#This Row],[Income]]&lt;=30000,"Low",
   IF(Table2[[#This Row],[Income]]&lt;=60000,"Medium",
      IF(Table2[[#This Row],[Income]]&lt;=100000,"High",
         "Premium")))</f>
        <v>Premium</v>
      </c>
    </row>
    <row r="463" spans="1:12" x14ac:dyDescent="0.35">
      <c r="A463" t="s">
        <v>946</v>
      </c>
      <c r="B463" s="2" t="s">
        <v>947</v>
      </c>
      <c r="C463" s="2" t="s">
        <v>11</v>
      </c>
      <c r="D463" s="3">
        <v>64</v>
      </c>
      <c r="E463" s="2" t="s">
        <v>18</v>
      </c>
      <c r="F463" s="2" t="s">
        <v>13</v>
      </c>
      <c r="G463" s="4">
        <v>54707</v>
      </c>
      <c r="H463" s="2" t="s">
        <v>20</v>
      </c>
      <c r="I463" s="1">
        <v>43726</v>
      </c>
      <c r="J463" t="str">
        <f ca="1">DATEDIF(Table2[[#This Row],[Join_Date]], TODAY(), "Y") &amp; "yrs"</f>
        <v>6yrs</v>
      </c>
      <c r="K463" t="str">
        <f>IF(Table2[[#This Row],[Age]]&lt;=19,"Teen",
   IF(Table2[[#This Row],[Age]]&lt;=35,"Young Adult",
      IF(Table2[[#This Row],[Age]]&lt;=55,"Middle-Age",
         "Old")))</f>
        <v>Old</v>
      </c>
      <c r="L463" t="str">
        <f>IF(Table2[[#This Row],[Income]]&lt;=30000,"Low",
   IF(Table2[[#This Row],[Income]]&lt;=60000,"Medium",
      IF(Table2[[#This Row],[Income]]&lt;=100000,"High",
         "Premium")))</f>
        <v>Medium</v>
      </c>
    </row>
    <row r="464" spans="1:12" x14ac:dyDescent="0.35">
      <c r="A464" t="s">
        <v>948</v>
      </c>
      <c r="B464" s="2" t="s">
        <v>949</v>
      </c>
      <c r="C464" s="2" t="s">
        <v>17</v>
      </c>
      <c r="D464" s="3">
        <v>66</v>
      </c>
      <c r="E464" s="2" t="s">
        <v>18</v>
      </c>
      <c r="F464" s="2" t="s">
        <v>42</v>
      </c>
      <c r="G464" s="4">
        <v>171409</v>
      </c>
      <c r="H464" s="2" t="s">
        <v>14</v>
      </c>
      <c r="I464" s="1">
        <v>45484</v>
      </c>
      <c r="J464" t="str">
        <f ca="1">DATEDIF(Table2[[#This Row],[Join_Date]], TODAY(), "Y") &amp; "yrs"</f>
        <v>1yrs</v>
      </c>
      <c r="K464" t="str">
        <f>IF(Table2[[#This Row],[Age]]&lt;=19,"Teen",
   IF(Table2[[#This Row],[Age]]&lt;=35,"Young Adult",
      IF(Table2[[#This Row],[Age]]&lt;=55,"Middle-Age",
         "Old")))</f>
        <v>Old</v>
      </c>
      <c r="L464" t="str">
        <f>IF(Table2[[#This Row],[Income]]&lt;=30000,"Low",
   IF(Table2[[#This Row],[Income]]&lt;=60000,"Medium",
      IF(Table2[[#This Row],[Income]]&lt;=100000,"High",
         "Premium")))</f>
        <v>Premium</v>
      </c>
    </row>
    <row r="465" spans="1:12" x14ac:dyDescent="0.35">
      <c r="A465" t="s">
        <v>950</v>
      </c>
      <c r="B465" s="2" t="s">
        <v>951</v>
      </c>
      <c r="C465" s="2" t="s">
        <v>11</v>
      </c>
      <c r="D465" s="3">
        <v>28</v>
      </c>
      <c r="E465" s="2" t="s">
        <v>30</v>
      </c>
      <c r="F465" s="2" t="s">
        <v>27</v>
      </c>
      <c r="G465" s="4">
        <v>101537</v>
      </c>
      <c r="H465" s="2" t="s">
        <v>14</v>
      </c>
      <c r="I465" s="1">
        <v>43028</v>
      </c>
      <c r="J465" t="str">
        <f ca="1">DATEDIF(Table2[[#This Row],[Join_Date]], TODAY(), "Y") &amp; "yrs"</f>
        <v>8yrs</v>
      </c>
      <c r="K465" t="str">
        <f>IF(Table2[[#This Row],[Age]]&lt;=19,"Teen",
   IF(Table2[[#This Row],[Age]]&lt;=35,"Young Adult",
      IF(Table2[[#This Row],[Age]]&lt;=55,"Middle-Age",
         "Old")))</f>
        <v>Young Adult</v>
      </c>
      <c r="L465" t="str">
        <f>IF(Table2[[#This Row],[Income]]&lt;=30000,"Low",
   IF(Table2[[#This Row],[Income]]&lt;=60000,"Medium",
      IF(Table2[[#This Row],[Income]]&lt;=100000,"High",
         "Premium")))</f>
        <v>Premium</v>
      </c>
    </row>
    <row r="466" spans="1:12" x14ac:dyDescent="0.35">
      <c r="A466" t="s">
        <v>952</v>
      </c>
      <c r="B466" s="2" t="s">
        <v>953</v>
      </c>
      <c r="C466" s="2" t="s">
        <v>17</v>
      </c>
      <c r="D466" s="3">
        <v>38</v>
      </c>
      <c r="E466" s="2" t="s">
        <v>12</v>
      </c>
      <c r="F466" s="2" t="s">
        <v>27</v>
      </c>
      <c r="G466" s="4">
        <v>198686</v>
      </c>
      <c r="H466" s="2" t="s">
        <v>20</v>
      </c>
      <c r="I466" s="1">
        <v>45801</v>
      </c>
      <c r="J466" t="str">
        <f ca="1">DATEDIF(Table2[[#This Row],[Join_Date]], TODAY(), "Y") &amp; "yrs"</f>
        <v>0yrs</v>
      </c>
      <c r="K466" t="str">
        <f>IF(Table2[[#This Row],[Age]]&lt;=19,"Teen",
   IF(Table2[[#This Row],[Age]]&lt;=35,"Young Adult",
      IF(Table2[[#This Row],[Age]]&lt;=55,"Middle-Age",
         "Old")))</f>
        <v>Middle-Age</v>
      </c>
      <c r="L466" t="str">
        <f>IF(Table2[[#This Row],[Income]]&lt;=30000,"Low",
   IF(Table2[[#This Row],[Income]]&lt;=60000,"Medium",
      IF(Table2[[#This Row],[Income]]&lt;=100000,"High",
         "Premium")))</f>
        <v>Premium</v>
      </c>
    </row>
    <row r="467" spans="1:12" x14ac:dyDescent="0.35">
      <c r="A467" t="s">
        <v>954</v>
      </c>
      <c r="B467" s="2" t="s">
        <v>955</v>
      </c>
      <c r="C467" s="2" t="s">
        <v>11</v>
      </c>
      <c r="D467" s="3">
        <v>43</v>
      </c>
      <c r="E467" s="2" t="s">
        <v>30</v>
      </c>
      <c r="F467" s="2" t="s">
        <v>23</v>
      </c>
      <c r="G467" s="4">
        <v>111155</v>
      </c>
      <c r="H467" s="2" t="s">
        <v>14</v>
      </c>
      <c r="I467" s="1">
        <v>44745</v>
      </c>
      <c r="J467" t="str">
        <f ca="1">DATEDIF(Table2[[#This Row],[Join_Date]], TODAY(), "Y") &amp; "yrs"</f>
        <v>3yrs</v>
      </c>
      <c r="K467" t="str">
        <f>IF(Table2[[#This Row],[Age]]&lt;=19,"Teen",
   IF(Table2[[#This Row],[Age]]&lt;=35,"Young Adult",
      IF(Table2[[#This Row],[Age]]&lt;=55,"Middle-Age",
         "Old")))</f>
        <v>Middle-Age</v>
      </c>
      <c r="L467" t="str">
        <f>IF(Table2[[#This Row],[Income]]&lt;=30000,"Low",
   IF(Table2[[#This Row],[Income]]&lt;=60000,"Medium",
      IF(Table2[[#This Row],[Income]]&lt;=100000,"High",
         "Premium")))</f>
        <v>Premium</v>
      </c>
    </row>
    <row r="468" spans="1:12" x14ac:dyDescent="0.35">
      <c r="A468" t="s">
        <v>956</v>
      </c>
      <c r="B468" s="2" t="s">
        <v>957</v>
      </c>
      <c r="C468" s="2" t="s">
        <v>17</v>
      </c>
      <c r="D468" s="3">
        <v>42</v>
      </c>
      <c r="E468" s="2" t="s">
        <v>30</v>
      </c>
      <c r="F468" s="2" t="s">
        <v>13</v>
      </c>
      <c r="G468" s="4">
        <v>20281</v>
      </c>
      <c r="H468" s="2" t="s">
        <v>20</v>
      </c>
      <c r="I468" s="1">
        <v>44498</v>
      </c>
      <c r="J468" t="str">
        <f ca="1">DATEDIF(Table2[[#This Row],[Join_Date]], TODAY(), "Y") &amp; "yrs"</f>
        <v>4yrs</v>
      </c>
      <c r="K468" t="str">
        <f>IF(Table2[[#This Row],[Age]]&lt;=19,"Teen",
   IF(Table2[[#This Row],[Age]]&lt;=35,"Young Adult",
      IF(Table2[[#This Row],[Age]]&lt;=55,"Middle-Age",
         "Old")))</f>
        <v>Middle-Age</v>
      </c>
      <c r="L468" t="str">
        <f>IF(Table2[[#This Row],[Income]]&lt;=30000,"Low",
   IF(Table2[[#This Row],[Income]]&lt;=60000,"Medium",
      IF(Table2[[#This Row],[Income]]&lt;=100000,"High",
         "Premium")))</f>
        <v>Low</v>
      </c>
    </row>
    <row r="469" spans="1:12" x14ac:dyDescent="0.35">
      <c r="A469" t="s">
        <v>958</v>
      </c>
      <c r="B469" s="2" t="s">
        <v>959</v>
      </c>
      <c r="C469" s="2" t="s">
        <v>11</v>
      </c>
      <c r="D469" s="3">
        <v>39</v>
      </c>
      <c r="E469" s="2" t="s">
        <v>30</v>
      </c>
      <c r="F469" s="2" t="s">
        <v>13</v>
      </c>
      <c r="G469" s="4">
        <v>178492</v>
      </c>
      <c r="H469" s="2" t="s">
        <v>14</v>
      </c>
      <c r="I469" s="1">
        <v>45319</v>
      </c>
      <c r="J469" t="str">
        <f ca="1">DATEDIF(Table2[[#This Row],[Join_Date]], TODAY(), "Y") &amp; "yrs"</f>
        <v>1yrs</v>
      </c>
      <c r="K469" t="str">
        <f>IF(Table2[[#This Row],[Age]]&lt;=19,"Teen",
   IF(Table2[[#This Row],[Age]]&lt;=35,"Young Adult",
      IF(Table2[[#This Row],[Age]]&lt;=55,"Middle-Age",
         "Old")))</f>
        <v>Middle-Age</v>
      </c>
      <c r="L469" t="str">
        <f>IF(Table2[[#This Row],[Income]]&lt;=30000,"Low",
   IF(Table2[[#This Row],[Income]]&lt;=60000,"Medium",
      IF(Table2[[#This Row],[Income]]&lt;=100000,"High",
         "Premium")))</f>
        <v>Premium</v>
      </c>
    </row>
    <row r="470" spans="1:12" x14ac:dyDescent="0.35">
      <c r="A470" t="s">
        <v>960</v>
      </c>
      <c r="B470" s="2" t="s">
        <v>961</v>
      </c>
      <c r="C470" s="2" t="s">
        <v>11</v>
      </c>
      <c r="D470" s="3">
        <v>44</v>
      </c>
      <c r="E470" s="2" t="s">
        <v>18</v>
      </c>
      <c r="F470" s="2" t="s">
        <v>42</v>
      </c>
      <c r="G470" s="4">
        <v>190102</v>
      </c>
      <c r="H470" s="2" t="s">
        <v>24</v>
      </c>
      <c r="I470" s="1">
        <v>42954</v>
      </c>
      <c r="J470" t="str">
        <f ca="1">DATEDIF(Table2[[#This Row],[Join_Date]], TODAY(), "Y") &amp; "yrs"</f>
        <v>8yrs</v>
      </c>
      <c r="K470" t="str">
        <f>IF(Table2[[#This Row],[Age]]&lt;=19,"Teen",
   IF(Table2[[#This Row],[Age]]&lt;=35,"Young Adult",
      IF(Table2[[#This Row],[Age]]&lt;=55,"Middle-Age",
         "Old")))</f>
        <v>Middle-Age</v>
      </c>
      <c r="L470" t="str">
        <f>IF(Table2[[#This Row],[Income]]&lt;=30000,"Low",
   IF(Table2[[#This Row],[Income]]&lt;=60000,"Medium",
      IF(Table2[[#This Row],[Income]]&lt;=100000,"High",
         "Premium")))</f>
        <v>Premium</v>
      </c>
    </row>
    <row r="471" spans="1:12" x14ac:dyDescent="0.35">
      <c r="A471" t="s">
        <v>962</v>
      </c>
      <c r="B471" s="2" t="s">
        <v>963</v>
      </c>
      <c r="C471" s="2" t="s">
        <v>17</v>
      </c>
      <c r="D471" s="3">
        <v>66</v>
      </c>
      <c r="E471" s="2" t="s">
        <v>12</v>
      </c>
      <c r="F471" s="2" t="s">
        <v>31</v>
      </c>
      <c r="G471" s="4">
        <v>152130</v>
      </c>
      <c r="H471" s="2" t="s">
        <v>14</v>
      </c>
      <c r="I471" s="1">
        <v>44345</v>
      </c>
      <c r="J471" t="str">
        <f ca="1">DATEDIF(Table2[[#This Row],[Join_Date]], TODAY(), "Y") &amp; "yrs"</f>
        <v>4yrs</v>
      </c>
      <c r="K471" t="str">
        <f>IF(Table2[[#This Row],[Age]]&lt;=19,"Teen",
   IF(Table2[[#This Row],[Age]]&lt;=35,"Young Adult",
      IF(Table2[[#This Row],[Age]]&lt;=55,"Middle-Age",
         "Old")))</f>
        <v>Old</v>
      </c>
      <c r="L471" t="str">
        <f>IF(Table2[[#This Row],[Income]]&lt;=30000,"Low",
   IF(Table2[[#This Row],[Income]]&lt;=60000,"Medium",
      IF(Table2[[#This Row],[Income]]&lt;=100000,"High",
         "Premium")))</f>
        <v>Premium</v>
      </c>
    </row>
    <row r="472" spans="1:12" x14ac:dyDescent="0.35">
      <c r="A472" t="s">
        <v>964</v>
      </c>
      <c r="B472" s="2" t="s">
        <v>965</v>
      </c>
      <c r="C472" s="2" t="s">
        <v>11</v>
      </c>
      <c r="D472" s="3">
        <v>30</v>
      </c>
      <c r="E472" s="2" t="s">
        <v>30</v>
      </c>
      <c r="F472" s="2" t="s">
        <v>19</v>
      </c>
      <c r="G472" s="4">
        <v>96260</v>
      </c>
      <c r="H472" s="2" t="s">
        <v>14</v>
      </c>
      <c r="I472" s="1">
        <v>45664</v>
      </c>
      <c r="J472" t="str">
        <f ca="1">DATEDIF(Table2[[#This Row],[Join_Date]], TODAY(), "Y") &amp; "yrs"</f>
        <v>1yrs</v>
      </c>
      <c r="K472" t="str">
        <f>IF(Table2[[#This Row],[Age]]&lt;=19,"Teen",
   IF(Table2[[#This Row],[Age]]&lt;=35,"Young Adult",
      IF(Table2[[#This Row],[Age]]&lt;=55,"Middle-Age",
         "Old")))</f>
        <v>Young Adult</v>
      </c>
      <c r="L472" t="str">
        <f>IF(Table2[[#This Row],[Income]]&lt;=30000,"Low",
   IF(Table2[[#This Row],[Income]]&lt;=60000,"Medium",
      IF(Table2[[#This Row],[Income]]&lt;=100000,"High",
         "Premium")))</f>
        <v>High</v>
      </c>
    </row>
    <row r="473" spans="1:12" x14ac:dyDescent="0.35">
      <c r="A473" t="s">
        <v>966</v>
      </c>
      <c r="B473" s="2" t="s">
        <v>967</v>
      </c>
      <c r="C473" s="2" t="s">
        <v>17</v>
      </c>
      <c r="D473" s="3">
        <v>50</v>
      </c>
      <c r="E473" s="2" t="s">
        <v>12</v>
      </c>
      <c r="F473" s="2" t="s">
        <v>27</v>
      </c>
      <c r="G473" s="4">
        <v>179476</v>
      </c>
      <c r="H473" s="2" t="s">
        <v>14</v>
      </c>
      <c r="I473" s="1">
        <v>43369</v>
      </c>
      <c r="J473" t="str">
        <f ca="1">DATEDIF(Table2[[#This Row],[Join_Date]], TODAY(), "Y") &amp; "yrs"</f>
        <v>7yrs</v>
      </c>
      <c r="K473" t="str">
        <f>IF(Table2[[#This Row],[Age]]&lt;=19,"Teen",
   IF(Table2[[#This Row],[Age]]&lt;=35,"Young Adult",
      IF(Table2[[#This Row],[Age]]&lt;=55,"Middle-Age",
         "Old")))</f>
        <v>Middle-Age</v>
      </c>
      <c r="L473" t="str">
        <f>IF(Table2[[#This Row],[Income]]&lt;=30000,"Low",
   IF(Table2[[#This Row],[Income]]&lt;=60000,"Medium",
      IF(Table2[[#This Row],[Income]]&lt;=100000,"High",
         "Premium")))</f>
        <v>Premium</v>
      </c>
    </row>
    <row r="474" spans="1:12" x14ac:dyDescent="0.35">
      <c r="A474" t="s">
        <v>968</v>
      </c>
      <c r="B474" s="2" t="s">
        <v>969</v>
      </c>
      <c r="C474" s="2" t="s">
        <v>11</v>
      </c>
      <c r="D474" s="3">
        <v>51</v>
      </c>
      <c r="E474" s="2" t="s">
        <v>12</v>
      </c>
      <c r="F474" s="2" t="s">
        <v>31</v>
      </c>
      <c r="G474" s="4">
        <v>180928</v>
      </c>
      <c r="H474" s="2" t="s">
        <v>14</v>
      </c>
      <c r="I474" s="1">
        <v>44083</v>
      </c>
      <c r="J474" t="str">
        <f ca="1">DATEDIF(Table2[[#This Row],[Join_Date]], TODAY(), "Y") &amp; "yrs"</f>
        <v>5yrs</v>
      </c>
      <c r="K474" t="str">
        <f>IF(Table2[[#This Row],[Age]]&lt;=19,"Teen",
   IF(Table2[[#This Row],[Age]]&lt;=35,"Young Adult",
      IF(Table2[[#This Row],[Age]]&lt;=55,"Middle-Age",
         "Old")))</f>
        <v>Middle-Age</v>
      </c>
      <c r="L474" t="str">
        <f>IF(Table2[[#This Row],[Income]]&lt;=30000,"Low",
   IF(Table2[[#This Row],[Income]]&lt;=60000,"Medium",
      IF(Table2[[#This Row],[Income]]&lt;=100000,"High",
         "Premium")))</f>
        <v>Premium</v>
      </c>
    </row>
    <row r="475" spans="1:12" x14ac:dyDescent="0.35">
      <c r="A475" t="s">
        <v>970</v>
      </c>
      <c r="B475" s="2" t="s">
        <v>971</v>
      </c>
      <c r="C475" s="2" t="s">
        <v>17</v>
      </c>
      <c r="D475" s="3">
        <v>58</v>
      </c>
      <c r="E475" s="2" t="s">
        <v>18</v>
      </c>
      <c r="F475" s="2" t="s">
        <v>37</v>
      </c>
      <c r="G475" s="4">
        <v>160272</v>
      </c>
      <c r="H475" s="2" t="s">
        <v>20</v>
      </c>
      <c r="I475" s="1">
        <v>43719</v>
      </c>
      <c r="J475" t="str">
        <f ca="1">DATEDIF(Table2[[#This Row],[Join_Date]], TODAY(), "Y") &amp; "yrs"</f>
        <v>6yrs</v>
      </c>
      <c r="K475" t="str">
        <f>IF(Table2[[#This Row],[Age]]&lt;=19,"Teen",
   IF(Table2[[#This Row],[Age]]&lt;=35,"Young Adult",
      IF(Table2[[#This Row],[Age]]&lt;=55,"Middle-Age",
         "Old")))</f>
        <v>Old</v>
      </c>
      <c r="L475" t="str">
        <f>IF(Table2[[#This Row],[Income]]&lt;=30000,"Low",
   IF(Table2[[#This Row],[Income]]&lt;=60000,"Medium",
      IF(Table2[[#This Row],[Income]]&lt;=100000,"High",
         "Premium")))</f>
        <v>Premium</v>
      </c>
    </row>
    <row r="476" spans="1:12" x14ac:dyDescent="0.35">
      <c r="A476" t="s">
        <v>972</v>
      </c>
      <c r="B476" s="2" t="s">
        <v>973</v>
      </c>
      <c r="C476" s="2" t="s">
        <v>11</v>
      </c>
      <c r="D476" s="3">
        <v>52</v>
      </c>
      <c r="E476" s="2" t="s">
        <v>30</v>
      </c>
      <c r="F476" s="2" t="s">
        <v>27</v>
      </c>
      <c r="G476" s="4">
        <v>84178</v>
      </c>
      <c r="H476" s="2" t="s">
        <v>24</v>
      </c>
      <c r="I476" s="1">
        <v>44123</v>
      </c>
      <c r="J476" t="str">
        <f ca="1">DATEDIF(Table2[[#This Row],[Join_Date]], TODAY(), "Y") &amp; "yrs"</f>
        <v>5yrs</v>
      </c>
      <c r="K476" t="str">
        <f>IF(Table2[[#This Row],[Age]]&lt;=19,"Teen",
   IF(Table2[[#This Row],[Age]]&lt;=35,"Young Adult",
      IF(Table2[[#This Row],[Age]]&lt;=55,"Middle-Age",
         "Old")))</f>
        <v>Middle-Age</v>
      </c>
      <c r="L476" t="str">
        <f>IF(Table2[[#This Row],[Income]]&lt;=30000,"Low",
   IF(Table2[[#This Row],[Income]]&lt;=60000,"Medium",
      IF(Table2[[#This Row],[Income]]&lt;=100000,"High",
         "Premium")))</f>
        <v>High</v>
      </c>
    </row>
    <row r="477" spans="1:12" x14ac:dyDescent="0.35">
      <c r="A477" t="s">
        <v>974</v>
      </c>
      <c r="B477" s="2" t="s">
        <v>975</v>
      </c>
      <c r="C477" s="2" t="s">
        <v>17</v>
      </c>
      <c r="D477" s="3">
        <v>18</v>
      </c>
      <c r="E477" s="2" t="s">
        <v>30</v>
      </c>
      <c r="F477" s="2" t="s">
        <v>31</v>
      </c>
      <c r="G477" s="4">
        <v>53997</v>
      </c>
      <c r="H477" s="2" t="s">
        <v>14</v>
      </c>
      <c r="I477" s="1">
        <v>43488</v>
      </c>
      <c r="J477" t="str">
        <f ca="1">DATEDIF(Table2[[#This Row],[Join_Date]], TODAY(), "Y") &amp; "yrs"</f>
        <v>6yrs</v>
      </c>
      <c r="K477" t="str">
        <f>IF(Table2[[#This Row],[Age]]&lt;=19,"Teen",
   IF(Table2[[#This Row],[Age]]&lt;=35,"Young Adult",
      IF(Table2[[#This Row],[Age]]&lt;=55,"Middle-Age",
         "Old")))</f>
        <v>Teen</v>
      </c>
      <c r="L477" t="str">
        <f>IF(Table2[[#This Row],[Income]]&lt;=30000,"Low",
   IF(Table2[[#This Row],[Income]]&lt;=60000,"Medium",
      IF(Table2[[#This Row],[Income]]&lt;=100000,"High",
         "Premium")))</f>
        <v>Medium</v>
      </c>
    </row>
    <row r="478" spans="1:12" x14ac:dyDescent="0.35">
      <c r="A478" t="s">
        <v>976</v>
      </c>
      <c r="B478" s="2" t="s">
        <v>977</v>
      </c>
      <c r="C478" s="2" t="s">
        <v>11</v>
      </c>
      <c r="D478" s="3">
        <v>38</v>
      </c>
      <c r="E478" s="2" t="s">
        <v>12</v>
      </c>
      <c r="F478" s="2" t="s">
        <v>27</v>
      </c>
      <c r="G478" s="4">
        <v>176683</v>
      </c>
      <c r="H478" s="2" t="s">
        <v>14</v>
      </c>
      <c r="I478" s="1">
        <v>42325</v>
      </c>
      <c r="J478" t="str">
        <f ca="1">DATEDIF(Table2[[#This Row],[Join_Date]], TODAY(), "Y") &amp; "yrs"</f>
        <v>10yrs</v>
      </c>
      <c r="K478" t="str">
        <f>IF(Table2[[#This Row],[Age]]&lt;=19,"Teen",
   IF(Table2[[#This Row],[Age]]&lt;=35,"Young Adult",
      IF(Table2[[#This Row],[Age]]&lt;=55,"Middle-Age",
         "Old")))</f>
        <v>Middle-Age</v>
      </c>
      <c r="L478" t="str">
        <f>IF(Table2[[#This Row],[Income]]&lt;=30000,"Low",
   IF(Table2[[#This Row],[Income]]&lt;=60000,"Medium",
      IF(Table2[[#This Row],[Income]]&lt;=100000,"High",
         "Premium")))</f>
        <v>Premium</v>
      </c>
    </row>
    <row r="479" spans="1:12" x14ac:dyDescent="0.35">
      <c r="A479" t="s">
        <v>978</v>
      </c>
      <c r="B479" s="2" t="s">
        <v>979</v>
      </c>
      <c r="C479" s="2" t="s">
        <v>17</v>
      </c>
      <c r="D479" s="3">
        <v>65</v>
      </c>
      <c r="E479" s="2" t="s">
        <v>34</v>
      </c>
      <c r="F479" s="2" t="s">
        <v>19</v>
      </c>
      <c r="G479" s="4">
        <v>139273</v>
      </c>
      <c r="H479" s="2" t="s">
        <v>20</v>
      </c>
      <c r="I479" s="1">
        <v>42602</v>
      </c>
      <c r="J479" t="str">
        <f ca="1">DATEDIF(Table2[[#This Row],[Join_Date]], TODAY(), "Y") &amp; "yrs"</f>
        <v>9yrs</v>
      </c>
      <c r="K479" t="str">
        <f>IF(Table2[[#This Row],[Age]]&lt;=19,"Teen",
   IF(Table2[[#This Row],[Age]]&lt;=35,"Young Adult",
      IF(Table2[[#This Row],[Age]]&lt;=55,"Middle-Age",
         "Old")))</f>
        <v>Old</v>
      </c>
      <c r="L479" t="str">
        <f>IF(Table2[[#This Row],[Income]]&lt;=30000,"Low",
   IF(Table2[[#This Row],[Income]]&lt;=60000,"Medium",
      IF(Table2[[#This Row],[Income]]&lt;=100000,"High",
         "Premium")))</f>
        <v>Premium</v>
      </c>
    </row>
    <row r="480" spans="1:12" x14ac:dyDescent="0.35">
      <c r="A480" t="s">
        <v>980</v>
      </c>
      <c r="B480" s="2" t="s">
        <v>981</v>
      </c>
      <c r="C480" s="2" t="s">
        <v>11</v>
      </c>
      <c r="D480" s="3">
        <v>72</v>
      </c>
      <c r="E480" s="2" t="s">
        <v>18</v>
      </c>
      <c r="F480" s="2" t="s">
        <v>37</v>
      </c>
      <c r="G480" s="4">
        <v>192307</v>
      </c>
      <c r="H480" s="2" t="s">
        <v>20</v>
      </c>
      <c r="I480" s="1">
        <v>44108</v>
      </c>
      <c r="J480" t="str">
        <f ca="1">DATEDIF(Table2[[#This Row],[Join_Date]], TODAY(), "Y") &amp; "yrs"</f>
        <v>5yrs</v>
      </c>
      <c r="K480" t="str">
        <f>IF(Table2[[#This Row],[Age]]&lt;=19,"Teen",
   IF(Table2[[#This Row],[Age]]&lt;=35,"Young Adult",
      IF(Table2[[#This Row],[Age]]&lt;=55,"Middle-Age",
         "Old")))</f>
        <v>Old</v>
      </c>
      <c r="L480" t="str">
        <f>IF(Table2[[#This Row],[Income]]&lt;=30000,"Low",
   IF(Table2[[#This Row],[Income]]&lt;=60000,"Medium",
      IF(Table2[[#This Row],[Income]]&lt;=100000,"High",
         "Premium")))</f>
        <v>Premium</v>
      </c>
    </row>
    <row r="481" spans="1:12" x14ac:dyDescent="0.35">
      <c r="A481" t="s">
        <v>982</v>
      </c>
      <c r="B481" s="2" t="s">
        <v>983</v>
      </c>
      <c r="C481" s="2" t="s">
        <v>17</v>
      </c>
      <c r="D481" s="3">
        <v>23</v>
      </c>
      <c r="E481" s="2" t="s">
        <v>18</v>
      </c>
      <c r="F481" s="2" t="s">
        <v>19</v>
      </c>
      <c r="G481" s="4">
        <v>186129</v>
      </c>
      <c r="H481" s="2" t="s">
        <v>14</v>
      </c>
      <c r="I481" s="1">
        <v>45476</v>
      </c>
      <c r="J481" t="str">
        <f ca="1">DATEDIF(Table2[[#This Row],[Join_Date]], TODAY(), "Y") &amp; "yrs"</f>
        <v>1yrs</v>
      </c>
      <c r="K481" t="str">
        <f>IF(Table2[[#This Row],[Age]]&lt;=19,"Teen",
   IF(Table2[[#This Row],[Age]]&lt;=35,"Young Adult",
      IF(Table2[[#This Row],[Age]]&lt;=55,"Middle-Age",
         "Old")))</f>
        <v>Young Adult</v>
      </c>
      <c r="L481" t="str">
        <f>IF(Table2[[#This Row],[Income]]&lt;=30000,"Low",
   IF(Table2[[#This Row],[Income]]&lt;=60000,"Medium",
      IF(Table2[[#This Row],[Income]]&lt;=100000,"High",
         "Premium")))</f>
        <v>Premium</v>
      </c>
    </row>
    <row r="482" spans="1:12" x14ac:dyDescent="0.35">
      <c r="A482" t="s">
        <v>984</v>
      </c>
      <c r="B482" s="2" t="s">
        <v>985</v>
      </c>
      <c r="C482" s="2" t="s">
        <v>17</v>
      </c>
      <c r="D482" s="3">
        <v>45</v>
      </c>
      <c r="E482" s="2" t="s">
        <v>18</v>
      </c>
      <c r="F482" s="2" t="s">
        <v>42</v>
      </c>
      <c r="G482" s="4">
        <v>152311</v>
      </c>
      <c r="H482" s="2" t="s">
        <v>14</v>
      </c>
      <c r="I482" s="1">
        <v>42411</v>
      </c>
      <c r="J482" t="str">
        <f ca="1">DATEDIF(Table2[[#This Row],[Join_Date]], TODAY(), "Y") &amp; "yrs"</f>
        <v>9yrs</v>
      </c>
      <c r="K482" t="str">
        <f>IF(Table2[[#This Row],[Age]]&lt;=19,"Teen",
   IF(Table2[[#This Row],[Age]]&lt;=35,"Young Adult",
      IF(Table2[[#This Row],[Age]]&lt;=55,"Middle-Age",
         "Old")))</f>
        <v>Middle-Age</v>
      </c>
      <c r="L482" t="str">
        <f>IF(Table2[[#This Row],[Income]]&lt;=30000,"Low",
   IF(Table2[[#This Row],[Income]]&lt;=60000,"Medium",
      IF(Table2[[#This Row],[Income]]&lt;=100000,"High",
         "Premium")))</f>
        <v>Premium</v>
      </c>
    </row>
    <row r="483" spans="1:12" x14ac:dyDescent="0.35">
      <c r="A483" t="s">
        <v>986</v>
      </c>
      <c r="B483" s="2" t="s">
        <v>987</v>
      </c>
      <c r="C483" s="2" t="s">
        <v>17</v>
      </c>
      <c r="D483" s="3">
        <v>34</v>
      </c>
      <c r="E483" s="2" t="s">
        <v>18</v>
      </c>
      <c r="F483" s="2" t="s">
        <v>37</v>
      </c>
      <c r="G483" s="4">
        <v>146945</v>
      </c>
      <c r="H483" s="2" t="s">
        <v>14</v>
      </c>
      <c r="I483" s="1">
        <v>43553</v>
      </c>
      <c r="J483" t="str">
        <f ca="1">DATEDIF(Table2[[#This Row],[Join_Date]], TODAY(), "Y") &amp; "yrs"</f>
        <v>6yrs</v>
      </c>
      <c r="K483" t="str">
        <f>IF(Table2[[#This Row],[Age]]&lt;=19,"Teen",
   IF(Table2[[#This Row],[Age]]&lt;=35,"Young Adult",
      IF(Table2[[#This Row],[Age]]&lt;=55,"Middle-Age",
         "Old")))</f>
        <v>Young Adult</v>
      </c>
      <c r="L483" t="str">
        <f>IF(Table2[[#This Row],[Income]]&lt;=30000,"Low",
   IF(Table2[[#This Row],[Income]]&lt;=60000,"Medium",
      IF(Table2[[#This Row],[Income]]&lt;=100000,"High",
         "Premium")))</f>
        <v>Premium</v>
      </c>
    </row>
    <row r="484" spans="1:12" x14ac:dyDescent="0.35">
      <c r="A484" t="s">
        <v>988</v>
      </c>
      <c r="B484" s="2" t="s">
        <v>989</v>
      </c>
      <c r="C484" s="2" t="s">
        <v>11</v>
      </c>
      <c r="D484" s="3">
        <v>22</v>
      </c>
      <c r="E484" s="2" t="s">
        <v>30</v>
      </c>
      <c r="F484" s="2" t="s">
        <v>23</v>
      </c>
      <c r="G484" s="4">
        <v>65272</v>
      </c>
      <c r="H484" s="2" t="s">
        <v>20</v>
      </c>
      <c r="I484" s="1">
        <v>45512</v>
      </c>
      <c r="J484" t="str">
        <f ca="1">DATEDIF(Table2[[#This Row],[Join_Date]], TODAY(), "Y") &amp; "yrs"</f>
        <v>1yrs</v>
      </c>
      <c r="K484" t="str">
        <f>IF(Table2[[#This Row],[Age]]&lt;=19,"Teen",
   IF(Table2[[#This Row],[Age]]&lt;=35,"Young Adult",
      IF(Table2[[#This Row],[Age]]&lt;=55,"Middle-Age",
         "Old")))</f>
        <v>Young Adult</v>
      </c>
      <c r="L484" t="str">
        <f>IF(Table2[[#This Row],[Income]]&lt;=30000,"Low",
   IF(Table2[[#This Row],[Income]]&lt;=60000,"Medium",
      IF(Table2[[#This Row],[Income]]&lt;=100000,"High",
         "Premium")))</f>
        <v>High</v>
      </c>
    </row>
    <row r="485" spans="1:12" x14ac:dyDescent="0.35">
      <c r="A485" t="s">
        <v>990</v>
      </c>
      <c r="B485" s="2" t="s">
        <v>991</v>
      </c>
      <c r="C485" s="2" t="s">
        <v>17</v>
      </c>
      <c r="D485" s="3">
        <v>48</v>
      </c>
      <c r="E485" s="2" t="s">
        <v>30</v>
      </c>
      <c r="F485" s="2" t="s">
        <v>31</v>
      </c>
      <c r="G485" s="4">
        <v>109393</v>
      </c>
      <c r="H485" s="2" t="s">
        <v>14</v>
      </c>
      <c r="I485" s="1">
        <v>45087</v>
      </c>
      <c r="J485" t="str">
        <f ca="1">DATEDIF(Table2[[#This Row],[Join_Date]], TODAY(), "Y") &amp; "yrs"</f>
        <v>2yrs</v>
      </c>
      <c r="K485" t="str">
        <f>IF(Table2[[#This Row],[Age]]&lt;=19,"Teen",
   IF(Table2[[#This Row],[Age]]&lt;=35,"Young Adult",
      IF(Table2[[#This Row],[Age]]&lt;=55,"Middle-Age",
         "Old")))</f>
        <v>Middle-Age</v>
      </c>
      <c r="L485" t="str">
        <f>IF(Table2[[#This Row],[Income]]&lt;=30000,"Low",
   IF(Table2[[#This Row],[Income]]&lt;=60000,"Medium",
      IF(Table2[[#This Row],[Income]]&lt;=100000,"High",
         "Premium")))</f>
        <v>Premium</v>
      </c>
    </row>
    <row r="486" spans="1:12" x14ac:dyDescent="0.35">
      <c r="A486" t="s">
        <v>992</v>
      </c>
      <c r="B486" s="2" t="s">
        <v>993</v>
      </c>
      <c r="C486" s="2" t="s">
        <v>11</v>
      </c>
      <c r="D486" s="3">
        <v>22</v>
      </c>
      <c r="E486" s="2" t="s">
        <v>34</v>
      </c>
      <c r="F486" s="2" t="s">
        <v>37</v>
      </c>
      <c r="G486" s="4">
        <v>81212</v>
      </c>
      <c r="H486" s="2" t="s">
        <v>20</v>
      </c>
      <c r="I486" s="1">
        <v>43346</v>
      </c>
      <c r="J486" t="str">
        <f ca="1">DATEDIF(Table2[[#This Row],[Join_Date]], TODAY(), "Y") &amp; "yrs"</f>
        <v>7yrs</v>
      </c>
      <c r="K486" t="str">
        <f>IF(Table2[[#This Row],[Age]]&lt;=19,"Teen",
   IF(Table2[[#This Row],[Age]]&lt;=35,"Young Adult",
      IF(Table2[[#This Row],[Age]]&lt;=55,"Middle-Age",
         "Old")))</f>
        <v>Young Adult</v>
      </c>
      <c r="L486" t="str">
        <f>IF(Table2[[#This Row],[Income]]&lt;=30000,"Low",
   IF(Table2[[#This Row],[Income]]&lt;=60000,"Medium",
      IF(Table2[[#This Row],[Income]]&lt;=100000,"High",
         "Premium")))</f>
        <v>High</v>
      </c>
    </row>
    <row r="487" spans="1:12" x14ac:dyDescent="0.35">
      <c r="A487" t="s">
        <v>994</v>
      </c>
      <c r="B487" s="2" t="s">
        <v>995</v>
      </c>
      <c r="C487" s="2" t="s">
        <v>17</v>
      </c>
      <c r="D487" s="3">
        <v>55</v>
      </c>
      <c r="E487" s="2" t="s">
        <v>18</v>
      </c>
      <c r="F487" s="2" t="s">
        <v>42</v>
      </c>
      <c r="G487" s="4">
        <v>166470</v>
      </c>
      <c r="H487" s="2" t="s">
        <v>14</v>
      </c>
      <c r="I487" s="1">
        <v>45621</v>
      </c>
      <c r="J487" t="str">
        <f ca="1">DATEDIF(Table2[[#This Row],[Join_Date]], TODAY(), "Y") &amp; "yrs"</f>
        <v>1yrs</v>
      </c>
      <c r="K487" t="str">
        <f>IF(Table2[[#This Row],[Age]]&lt;=19,"Teen",
   IF(Table2[[#This Row],[Age]]&lt;=35,"Young Adult",
      IF(Table2[[#This Row],[Age]]&lt;=55,"Middle-Age",
         "Old")))</f>
        <v>Middle-Age</v>
      </c>
      <c r="L487" t="str">
        <f>IF(Table2[[#This Row],[Income]]&lt;=30000,"Low",
   IF(Table2[[#This Row],[Income]]&lt;=60000,"Medium",
      IF(Table2[[#This Row],[Income]]&lt;=100000,"High",
         "Premium")))</f>
        <v>Premium</v>
      </c>
    </row>
    <row r="488" spans="1:12" x14ac:dyDescent="0.35">
      <c r="A488" t="s">
        <v>996</v>
      </c>
      <c r="B488" s="2" t="s">
        <v>997</v>
      </c>
      <c r="C488" s="2" t="s">
        <v>11</v>
      </c>
      <c r="D488" s="3">
        <v>20</v>
      </c>
      <c r="E488" s="2" t="s">
        <v>18</v>
      </c>
      <c r="F488" s="2" t="s">
        <v>42</v>
      </c>
      <c r="G488" s="4">
        <v>140030</v>
      </c>
      <c r="H488" s="2" t="s">
        <v>20</v>
      </c>
      <c r="I488" s="1">
        <v>44975</v>
      </c>
      <c r="J488" t="str">
        <f ca="1">DATEDIF(Table2[[#This Row],[Join_Date]], TODAY(), "Y") &amp; "yrs"</f>
        <v>2yrs</v>
      </c>
      <c r="K488" t="str">
        <f>IF(Table2[[#This Row],[Age]]&lt;=19,"Teen",
   IF(Table2[[#This Row],[Age]]&lt;=35,"Young Adult",
      IF(Table2[[#This Row],[Age]]&lt;=55,"Middle-Age",
         "Old")))</f>
        <v>Young Adult</v>
      </c>
      <c r="L488" t="str">
        <f>IF(Table2[[#This Row],[Income]]&lt;=30000,"Low",
   IF(Table2[[#This Row],[Income]]&lt;=60000,"Medium",
      IF(Table2[[#This Row],[Income]]&lt;=100000,"High",
         "Premium")))</f>
        <v>Premium</v>
      </c>
    </row>
    <row r="489" spans="1:12" x14ac:dyDescent="0.35">
      <c r="A489" t="s">
        <v>998</v>
      </c>
      <c r="B489" s="2" t="s">
        <v>999</v>
      </c>
      <c r="C489" s="2" t="s">
        <v>17</v>
      </c>
      <c r="D489" s="3">
        <v>70</v>
      </c>
      <c r="E489" s="2" t="s">
        <v>12</v>
      </c>
      <c r="F489" s="2" t="s">
        <v>19</v>
      </c>
      <c r="G489" s="4">
        <v>76503</v>
      </c>
      <c r="H489" s="2" t="s">
        <v>14</v>
      </c>
      <c r="I489" s="1">
        <v>45681</v>
      </c>
      <c r="J489" t="str">
        <f ca="1">DATEDIF(Table2[[#This Row],[Join_Date]], TODAY(), "Y") &amp; "yrs"</f>
        <v>0yrs</v>
      </c>
      <c r="K489" t="str">
        <f>IF(Table2[[#This Row],[Age]]&lt;=19,"Teen",
   IF(Table2[[#This Row],[Age]]&lt;=35,"Young Adult",
      IF(Table2[[#This Row],[Age]]&lt;=55,"Middle-Age",
         "Old")))</f>
        <v>Old</v>
      </c>
      <c r="L489" t="str">
        <f>IF(Table2[[#This Row],[Income]]&lt;=30000,"Low",
   IF(Table2[[#This Row],[Income]]&lt;=60000,"Medium",
      IF(Table2[[#This Row],[Income]]&lt;=100000,"High",
         "Premium")))</f>
        <v>High</v>
      </c>
    </row>
    <row r="490" spans="1:12" x14ac:dyDescent="0.35">
      <c r="A490" t="s">
        <v>1000</v>
      </c>
      <c r="B490" s="2" t="s">
        <v>1001</v>
      </c>
      <c r="C490" s="2" t="s">
        <v>11</v>
      </c>
      <c r="D490" s="3">
        <v>40</v>
      </c>
      <c r="E490" s="2" t="s">
        <v>30</v>
      </c>
      <c r="F490" s="2" t="s">
        <v>27</v>
      </c>
      <c r="G490" s="4">
        <v>157710</v>
      </c>
      <c r="H490" s="2" t="s">
        <v>14</v>
      </c>
      <c r="I490" s="1">
        <v>45104</v>
      </c>
      <c r="J490" t="str">
        <f ca="1">DATEDIF(Table2[[#This Row],[Join_Date]], TODAY(), "Y") &amp; "yrs"</f>
        <v>2yrs</v>
      </c>
      <c r="K490" t="str">
        <f>IF(Table2[[#This Row],[Age]]&lt;=19,"Teen",
   IF(Table2[[#This Row],[Age]]&lt;=35,"Young Adult",
      IF(Table2[[#This Row],[Age]]&lt;=55,"Middle-Age",
         "Old")))</f>
        <v>Middle-Age</v>
      </c>
      <c r="L490" t="str">
        <f>IF(Table2[[#This Row],[Income]]&lt;=30000,"Low",
   IF(Table2[[#This Row],[Income]]&lt;=60000,"Medium",
      IF(Table2[[#This Row],[Income]]&lt;=100000,"High",
         "Premium")))</f>
        <v>Premium</v>
      </c>
    </row>
    <row r="491" spans="1:12" x14ac:dyDescent="0.35">
      <c r="A491" t="s">
        <v>1002</v>
      </c>
      <c r="B491" s="2" t="s">
        <v>1003</v>
      </c>
      <c r="C491" s="2" t="s">
        <v>11</v>
      </c>
      <c r="D491" s="3">
        <v>54</v>
      </c>
      <c r="E491" s="2" t="s">
        <v>18</v>
      </c>
      <c r="F491" s="2" t="s">
        <v>37</v>
      </c>
      <c r="G491" s="4">
        <v>26570</v>
      </c>
      <c r="H491" s="2" t="s">
        <v>14</v>
      </c>
      <c r="I491" s="1">
        <v>44800</v>
      </c>
      <c r="J491" t="str">
        <f ca="1">DATEDIF(Table2[[#This Row],[Join_Date]], TODAY(), "Y") &amp; "yrs"</f>
        <v>3yrs</v>
      </c>
      <c r="K491" t="str">
        <f>IF(Table2[[#This Row],[Age]]&lt;=19,"Teen",
   IF(Table2[[#This Row],[Age]]&lt;=35,"Young Adult",
      IF(Table2[[#This Row],[Age]]&lt;=55,"Middle-Age",
         "Old")))</f>
        <v>Middle-Age</v>
      </c>
      <c r="L491" t="str">
        <f>IF(Table2[[#This Row],[Income]]&lt;=30000,"Low",
   IF(Table2[[#This Row],[Income]]&lt;=60000,"Medium",
      IF(Table2[[#This Row],[Income]]&lt;=100000,"High",
         "Premium")))</f>
        <v>Low</v>
      </c>
    </row>
    <row r="492" spans="1:12" x14ac:dyDescent="0.35">
      <c r="A492" t="s">
        <v>1004</v>
      </c>
      <c r="B492" s="2" t="s">
        <v>1005</v>
      </c>
      <c r="C492" s="2" t="s">
        <v>17</v>
      </c>
      <c r="D492" s="3">
        <v>70</v>
      </c>
      <c r="E492" s="2" t="s">
        <v>34</v>
      </c>
      <c r="F492" s="2" t="s">
        <v>31</v>
      </c>
      <c r="G492" s="4">
        <v>88785</v>
      </c>
      <c r="H492" s="2" t="s">
        <v>20</v>
      </c>
      <c r="I492" s="1">
        <v>44778</v>
      </c>
      <c r="J492" t="str">
        <f ca="1">DATEDIF(Table2[[#This Row],[Join_Date]], TODAY(), "Y") &amp; "yrs"</f>
        <v>3yrs</v>
      </c>
      <c r="K492" t="str">
        <f>IF(Table2[[#This Row],[Age]]&lt;=19,"Teen",
   IF(Table2[[#This Row],[Age]]&lt;=35,"Young Adult",
      IF(Table2[[#This Row],[Age]]&lt;=55,"Middle-Age",
         "Old")))</f>
        <v>Old</v>
      </c>
      <c r="L492" t="str">
        <f>IF(Table2[[#This Row],[Income]]&lt;=30000,"Low",
   IF(Table2[[#This Row],[Income]]&lt;=60000,"Medium",
      IF(Table2[[#This Row],[Income]]&lt;=100000,"High",
         "Premium")))</f>
        <v>High</v>
      </c>
    </row>
    <row r="493" spans="1:12" x14ac:dyDescent="0.35">
      <c r="A493" t="s">
        <v>1006</v>
      </c>
      <c r="B493" s="2" t="s">
        <v>1007</v>
      </c>
      <c r="C493" s="2" t="s">
        <v>11</v>
      </c>
      <c r="D493" s="3">
        <v>54</v>
      </c>
      <c r="E493" s="2" t="s">
        <v>34</v>
      </c>
      <c r="F493" s="2" t="s">
        <v>37</v>
      </c>
      <c r="G493" s="4">
        <v>29110</v>
      </c>
      <c r="H493" s="2" t="s">
        <v>14</v>
      </c>
      <c r="I493" s="1">
        <v>44859</v>
      </c>
      <c r="J493" t="str">
        <f ca="1">DATEDIF(Table2[[#This Row],[Join_Date]], TODAY(), "Y") &amp; "yrs"</f>
        <v>3yrs</v>
      </c>
      <c r="K493" t="str">
        <f>IF(Table2[[#This Row],[Age]]&lt;=19,"Teen",
   IF(Table2[[#This Row],[Age]]&lt;=35,"Young Adult",
      IF(Table2[[#This Row],[Age]]&lt;=55,"Middle-Age",
         "Old")))</f>
        <v>Middle-Age</v>
      </c>
      <c r="L493" t="str">
        <f>IF(Table2[[#This Row],[Income]]&lt;=30000,"Low",
   IF(Table2[[#This Row],[Income]]&lt;=60000,"Medium",
      IF(Table2[[#This Row],[Income]]&lt;=100000,"High",
         "Premium")))</f>
        <v>Low</v>
      </c>
    </row>
    <row r="494" spans="1:12" x14ac:dyDescent="0.35">
      <c r="A494" t="s">
        <v>1008</v>
      </c>
      <c r="B494" s="2" t="s">
        <v>1009</v>
      </c>
      <c r="C494" s="2" t="s">
        <v>11</v>
      </c>
      <c r="D494" s="3">
        <v>27</v>
      </c>
      <c r="E494" s="2" t="s">
        <v>30</v>
      </c>
      <c r="F494" s="2" t="s">
        <v>13</v>
      </c>
      <c r="G494" s="4">
        <v>99141</v>
      </c>
      <c r="H494" s="2" t="s">
        <v>14</v>
      </c>
      <c r="I494" s="1">
        <v>45393</v>
      </c>
      <c r="J494" t="str">
        <f ca="1">DATEDIF(Table2[[#This Row],[Join_Date]], TODAY(), "Y") &amp; "yrs"</f>
        <v>1yrs</v>
      </c>
      <c r="K494" t="str">
        <f>IF(Table2[[#This Row],[Age]]&lt;=19,"Teen",
   IF(Table2[[#This Row],[Age]]&lt;=35,"Young Adult",
      IF(Table2[[#This Row],[Age]]&lt;=55,"Middle-Age",
         "Old")))</f>
        <v>Young Adult</v>
      </c>
      <c r="L494" t="str">
        <f>IF(Table2[[#This Row],[Income]]&lt;=30000,"Low",
   IF(Table2[[#This Row],[Income]]&lt;=60000,"Medium",
      IF(Table2[[#This Row],[Income]]&lt;=100000,"High",
         "Premium")))</f>
        <v>High</v>
      </c>
    </row>
    <row r="495" spans="1:12" x14ac:dyDescent="0.35">
      <c r="A495" t="s">
        <v>1010</v>
      </c>
      <c r="B495" s="2" t="s">
        <v>1011</v>
      </c>
      <c r="C495" s="2" t="s">
        <v>17</v>
      </c>
      <c r="D495" s="3">
        <v>27</v>
      </c>
      <c r="E495" s="2" t="s">
        <v>34</v>
      </c>
      <c r="F495" s="2" t="s">
        <v>27</v>
      </c>
      <c r="G495" s="4">
        <v>32115</v>
      </c>
      <c r="H495" s="2" t="s">
        <v>14</v>
      </c>
      <c r="I495" s="1">
        <v>44267</v>
      </c>
      <c r="J495" t="str">
        <f ca="1">DATEDIF(Table2[[#This Row],[Join_Date]], TODAY(), "Y") &amp; "yrs"</f>
        <v>4yrs</v>
      </c>
      <c r="K495" t="str">
        <f>IF(Table2[[#This Row],[Age]]&lt;=19,"Teen",
   IF(Table2[[#This Row],[Age]]&lt;=35,"Young Adult",
      IF(Table2[[#This Row],[Age]]&lt;=55,"Middle-Age",
         "Old")))</f>
        <v>Young Adult</v>
      </c>
      <c r="L495" t="str">
        <f>IF(Table2[[#This Row],[Income]]&lt;=30000,"Low",
   IF(Table2[[#This Row],[Income]]&lt;=60000,"Medium",
      IF(Table2[[#This Row],[Income]]&lt;=100000,"High",
         "Premium")))</f>
        <v>Medium</v>
      </c>
    </row>
    <row r="496" spans="1:12" x14ac:dyDescent="0.35">
      <c r="A496" t="s">
        <v>1012</v>
      </c>
      <c r="B496" s="2" t="s">
        <v>1013</v>
      </c>
      <c r="C496" s="2" t="s">
        <v>11</v>
      </c>
      <c r="D496" s="3">
        <v>36</v>
      </c>
      <c r="E496" s="2" t="s">
        <v>34</v>
      </c>
      <c r="F496" s="2" t="s">
        <v>31</v>
      </c>
      <c r="G496" s="4">
        <v>59062</v>
      </c>
      <c r="H496" s="2" t="s">
        <v>14</v>
      </c>
      <c r="I496" s="1">
        <v>44585</v>
      </c>
      <c r="J496" t="str">
        <f ca="1">DATEDIF(Table2[[#This Row],[Join_Date]], TODAY(), "Y") &amp; "yrs"</f>
        <v>3yrs</v>
      </c>
      <c r="K496" t="str">
        <f>IF(Table2[[#This Row],[Age]]&lt;=19,"Teen",
   IF(Table2[[#This Row],[Age]]&lt;=35,"Young Adult",
      IF(Table2[[#This Row],[Age]]&lt;=55,"Middle-Age",
         "Old")))</f>
        <v>Middle-Age</v>
      </c>
      <c r="L496" t="str">
        <f>IF(Table2[[#This Row],[Income]]&lt;=30000,"Low",
   IF(Table2[[#This Row],[Income]]&lt;=60000,"Medium",
      IF(Table2[[#This Row],[Income]]&lt;=100000,"High",
         "Premium")))</f>
        <v>Medium</v>
      </c>
    </row>
    <row r="497" spans="1:12" x14ac:dyDescent="0.35">
      <c r="A497" t="s">
        <v>1014</v>
      </c>
      <c r="B497" s="2" t="s">
        <v>1015</v>
      </c>
      <c r="C497" s="2" t="s">
        <v>11</v>
      </c>
      <c r="D497" s="3">
        <v>34</v>
      </c>
      <c r="E497" s="2" t="s">
        <v>30</v>
      </c>
      <c r="F497" s="2" t="s">
        <v>31</v>
      </c>
      <c r="G497" s="4">
        <v>42911</v>
      </c>
      <c r="H497" s="2" t="s">
        <v>20</v>
      </c>
      <c r="I497" s="1">
        <v>42920</v>
      </c>
      <c r="J497" t="str">
        <f ca="1">DATEDIF(Table2[[#This Row],[Join_Date]], TODAY(), "Y") &amp; "yrs"</f>
        <v>8yrs</v>
      </c>
      <c r="K497" t="str">
        <f>IF(Table2[[#This Row],[Age]]&lt;=19,"Teen",
   IF(Table2[[#This Row],[Age]]&lt;=35,"Young Adult",
      IF(Table2[[#This Row],[Age]]&lt;=55,"Middle-Age",
         "Old")))</f>
        <v>Young Adult</v>
      </c>
      <c r="L497" t="str">
        <f>IF(Table2[[#This Row],[Income]]&lt;=30000,"Low",
   IF(Table2[[#This Row],[Income]]&lt;=60000,"Medium",
      IF(Table2[[#This Row],[Income]]&lt;=100000,"High",
         "Premium")))</f>
        <v>Medium</v>
      </c>
    </row>
    <row r="498" spans="1:12" x14ac:dyDescent="0.35">
      <c r="A498" t="s">
        <v>1016</v>
      </c>
      <c r="B498" s="2" t="s">
        <v>1017</v>
      </c>
      <c r="C498" s="2" t="s">
        <v>11</v>
      </c>
      <c r="D498" s="3">
        <v>38</v>
      </c>
      <c r="E498" s="2" t="s">
        <v>18</v>
      </c>
      <c r="F498" s="2" t="s">
        <v>23</v>
      </c>
      <c r="G498" s="4">
        <v>124061</v>
      </c>
      <c r="H498" s="2" t="s">
        <v>20</v>
      </c>
      <c r="I498" s="1">
        <v>45451</v>
      </c>
      <c r="J498" t="str">
        <f ca="1">DATEDIF(Table2[[#This Row],[Join_Date]], TODAY(), "Y") &amp; "yrs"</f>
        <v>1yrs</v>
      </c>
      <c r="K498" t="str">
        <f>IF(Table2[[#This Row],[Age]]&lt;=19,"Teen",
   IF(Table2[[#This Row],[Age]]&lt;=35,"Young Adult",
      IF(Table2[[#This Row],[Age]]&lt;=55,"Middle-Age",
         "Old")))</f>
        <v>Middle-Age</v>
      </c>
      <c r="L498" t="str">
        <f>IF(Table2[[#This Row],[Income]]&lt;=30000,"Low",
   IF(Table2[[#This Row],[Income]]&lt;=60000,"Medium",
      IF(Table2[[#This Row],[Income]]&lt;=100000,"High",
         "Premium")))</f>
        <v>Premium</v>
      </c>
    </row>
    <row r="499" spans="1:12" x14ac:dyDescent="0.35">
      <c r="A499" t="s">
        <v>1018</v>
      </c>
      <c r="B499" s="2" t="s">
        <v>1019</v>
      </c>
      <c r="C499" s="2" t="s">
        <v>17</v>
      </c>
      <c r="D499" s="3">
        <v>31</v>
      </c>
      <c r="E499" s="2" t="s">
        <v>18</v>
      </c>
      <c r="F499" s="2" t="s">
        <v>19</v>
      </c>
      <c r="G499" s="4">
        <v>52556</v>
      </c>
      <c r="H499" s="2" t="s">
        <v>20</v>
      </c>
      <c r="I499" s="1">
        <v>42561</v>
      </c>
      <c r="J499" t="str">
        <f ca="1">DATEDIF(Table2[[#This Row],[Join_Date]], TODAY(), "Y") &amp; "yrs"</f>
        <v>9yrs</v>
      </c>
      <c r="K499" t="str">
        <f>IF(Table2[[#This Row],[Age]]&lt;=19,"Teen",
   IF(Table2[[#This Row],[Age]]&lt;=35,"Young Adult",
      IF(Table2[[#This Row],[Age]]&lt;=55,"Middle-Age",
         "Old")))</f>
        <v>Young Adult</v>
      </c>
      <c r="L499" t="str">
        <f>IF(Table2[[#This Row],[Income]]&lt;=30000,"Low",
   IF(Table2[[#This Row],[Income]]&lt;=60000,"Medium",
      IF(Table2[[#This Row],[Income]]&lt;=100000,"High",
         "Premium")))</f>
        <v>Medium</v>
      </c>
    </row>
    <row r="500" spans="1:12" x14ac:dyDescent="0.35">
      <c r="A500" t="s">
        <v>1020</v>
      </c>
      <c r="B500" s="2" t="s">
        <v>1021</v>
      </c>
      <c r="C500" s="2" t="s">
        <v>11</v>
      </c>
      <c r="D500" s="3">
        <v>26</v>
      </c>
      <c r="E500" s="2" t="s">
        <v>34</v>
      </c>
      <c r="F500" s="2" t="s">
        <v>23</v>
      </c>
      <c r="G500" s="4">
        <v>148335</v>
      </c>
      <c r="H500" s="2" t="s">
        <v>14</v>
      </c>
      <c r="I500" s="1">
        <v>45443</v>
      </c>
      <c r="J500" t="str">
        <f ca="1">DATEDIF(Table2[[#This Row],[Join_Date]], TODAY(), "Y") &amp; "yrs"</f>
        <v>1yrs</v>
      </c>
      <c r="K500" t="str">
        <f>IF(Table2[[#This Row],[Age]]&lt;=19,"Teen",
   IF(Table2[[#This Row],[Age]]&lt;=35,"Young Adult",
      IF(Table2[[#This Row],[Age]]&lt;=55,"Middle-Age",
         "Old")))</f>
        <v>Young Adult</v>
      </c>
      <c r="L500" t="str">
        <f>IF(Table2[[#This Row],[Income]]&lt;=30000,"Low",
   IF(Table2[[#This Row],[Income]]&lt;=60000,"Medium",
      IF(Table2[[#This Row],[Income]]&lt;=100000,"High",
         "Premium")))</f>
        <v>Premium</v>
      </c>
    </row>
    <row r="501" spans="1:12" x14ac:dyDescent="0.35">
      <c r="A501" t="s">
        <v>1022</v>
      </c>
      <c r="B501" s="2" t="s">
        <v>1023</v>
      </c>
      <c r="C501" s="2" t="s">
        <v>17</v>
      </c>
      <c r="D501" s="3">
        <v>63</v>
      </c>
      <c r="E501" s="2" t="s">
        <v>34</v>
      </c>
      <c r="F501" s="2" t="s">
        <v>31</v>
      </c>
      <c r="G501" s="4">
        <v>21969</v>
      </c>
      <c r="H501" s="2" t="s">
        <v>20</v>
      </c>
      <c r="I501" s="1">
        <v>45488</v>
      </c>
      <c r="J501" t="str">
        <f ca="1">DATEDIF(Table2[[#This Row],[Join_Date]], TODAY(), "Y") &amp; "yrs"</f>
        <v>1yrs</v>
      </c>
      <c r="K501" t="str">
        <f>IF(Table2[[#This Row],[Age]]&lt;=19,"Teen",
   IF(Table2[[#This Row],[Age]]&lt;=35,"Young Adult",
      IF(Table2[[#This Row],[Age]]&lt;=55,"Middle-Age",
         "Old")))</f>
        <v>Old</v>
      </c>
      <c r="L501" t="str">
        <f>IF(Table2[[#This Row],[Income]]&lt;=30000,"Low",
   IF(Table2[[#This Row],[Income]]&lt;=60000,"Medium",
      IF(Table2[[#This Row],[Income]]&lt;=100000,"High",
         "Premium")))</f>
        <v>Low</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4"/>
  <sheetViews>
    <sheetView tabSelected="1" zoomScale="66" workbookViewId="0"/>
  </sheetViews>
  <sheetFormatPr defaultRowHeight="14.5" x14ac:dyDescent="0.35"/>
  <cols>
    <col min="1" max="1" width="19" bestFit="1" customWidth="1"/>
    <col min="2" max="2" width="16.90625" bestFit="1" customWidth="1"/>
    <col min="3" max="3" width="5.36328125" bestFit="1" customWidth="1"/>
    <col min="4" max="4" width="10.81640625" bestFit="1" customWidth="1"/>
    <col min="8" max="8" width="13.90625" bestFit="1" customWidth="1"/>
    <col min="9" max="9" width="17.1796875" bestFit="1" customWidth="1"/>
    <col min="12" max="12" width="13.90625" bestFit="1" customWidth="1"/>
    <col min="13" max="13" width="17.1796875" bestFit="1" customWidth="1"/>
    <col min="15" max="15" width="15.6328125" bestFit="1" customWidth="1"/>
    <col min="16" max="16" width="13.7265625" bestFit="1" customWidth="1"/>
  </cols>
  <sheetData>
    <row r="1" spans="1:16" x14ac:dyDescent="0.35">
      <c r="A1" t="s">
        <v>1027</v>
      </c>
      <c r="H1" t="s">
        <v>1036</v>
      </c>
    </row>
    <row r="2" spans="1:16" x14ac:dyDescent="0.35">
      <c r="H2" s="5" t="s">
        <v>1028</v>
      </c>
      <c r="I2" t="s">
        <v>1035</v>
      </c>
      <c r="L2" t="s">
        <v>1037</v>
      </c>
      <c r="M2">
        <v>500</v>
      </c>
      <c r="O2" s="5" t="s">
        <v>1028</v>
      </c>
      <c r="P2" s="9" t="s">
        <v>1034</v>
      </c>
    </row>
    <row r="3" spans="1:16" x14ac:dyDescent="0.35">
      <c r="A3" s="5" t="s">
        <v>1028</v>
      </c>
      <c r="B3" t="s">
        <v>1030</v>
      </c>
      <c r="H3" s="6" t="s">
        <v>24</v>
      </c>
      <c r="I3" s="9">
        <v>118774.17777777778</v>
      </c>
      <c r="L3" t="s">
        <v>1038</v>
      </c>
      <c r="M3" s="10">
        <v>114399</v>
      </c>
      <c r="O3" s="6" t="s">
        <v>318</v>
      </c>
      <c r="P3" s="9">
        <v>193279</v>
      </c>
    </row>
    <row r="4" spans="1:16" x14ac:dyDescent="0.35">
      <c r="A4" s="6" t="s">
        <v>18</v>
      </c>
      <c r="B4" s="7">
        <v>10</v>
      </c>
      <c r="H4" s="6" t="s">
        <v>1029</v>
      </c>
      <c r="I4" s="9">
        <v>118774.17777777778</v>
      </c>
      <c r="L4" t="s">
        <v>1039</v>
      </c>
      <c r="M4">
        <v>5</v>
      </c>
      <c r="O4" s="6" t="s">
        <v>428</v>
      </c>
      <c r="P4" s="9">
        <v>195485</v>
      </c>
    </row>
    <row r="5" spans="1:16" x14ac:dyDescent="0.35">
      <c r="A5" s="6" t="s">
        <v>12</v>
      </c>
      <c r="B5" s="7">
        <v>8</v>
      </c>
      <c r="L5" t="s">
        <v>1040</v>
      </c>
      <c r="M5">
        <v>46</v>
      </c>
      <c r="O5" s="6" t="s">
        <v>826</v>
      </c>
      <c r="P5" s="9">
        <v>199436</v>
      </c>
    </row>
    <row r="6" spans="1:16" x14ac:dyDescent="0.35">
      <c r="A6" s="6" t="s">
        <v>34</v>
      </c>
      <c r="B6" s="7">
        <v>16</v>
      </c>
      <c r="O6" s="6" t="s">
        <v>478</v>
      </c>
      <c r="P6" s="9">
        <v>190413</v>
      </c>
    </row>
    <row r="7" spans="1:16" x14ac:dyDescent="0.35">
      <c r="A7" s="6" t="s">
        <v>30</v>
      </c>
      <c r="B7" s="7">
        <v>11</v>
      </c>
      <c r="I7" s="9"/>
      <c r="O7" s="6" t="s">
        <v>810</v>
      </c>
      <c r="P7" s="9">
        <v>196422</v>
      </c>
    </row>
    <row r="8" spans="1:16" x14ac:dyDescent="0.35">
      <c r="A8" s="6" t="s">
        <v>1029</v>
      </c>
      <c r="B8" s="7">
        <v>45</v>
      </c>
      <c r="I8" s="9"/>
      <c r="O8" s="6" t="s">
        <v>1029</v>
      </c>
      <c r="P8" s="9">
        <v>975035</v>
      </c>
    </row>
    <row r="9" spans="1:16" x14ac:dyDescent="0.35">
      <c r="I9" s="9"/>
    </row>
    <row r="10" spans="1:16" x14ac:dyDescent="0.35">
      <c r="I10" s="9"/>
    </row>
    <row r="11" spans="1:16" x14ac:dyDescent="0.35">
      <c r="H11" t="s">
        <v>1045</v>
      </c>
      <c r="I11" s="9"/>
      <c r="L11" t="s">
        <v>1048</v>
      </c>
    </row>
    <row r="12" spans="1:16" x14ac:dyDescent="0.35">
      <c r="H12" s="5" t="s">
        <v>1028</v>
      </c>
      <c r="I12" s="9" t="s">
        <v>1034</v>
      </c>
      <c r="L12" s="5" t="s">
        <v>1028</v>
      </c>
      <c r="M12" s="9" t="s">
        <v>1030</v>
      </c>
      <c r="O12" s="5" t="s">
        <v>1028</v>
      </c>
      <c r="P12" s="9" t="s">
        <v>1034</v>
      </c>
    </row>
    <row r="13" spans="1:16" x14ac:dyDescent="0.35">
      <c r="H13" s="6" t="s">
        <v>24</v>
      </c>
      <c r="I13" s="9">
        <v>5344838</v>
      </c>
      <c r="L13" s="6" t="s">
        <v>1041</v>
      </c>
      <c r="M13" s="8">
        <v>27</v>
      </c>
      <c r="O13" s="6" t="s">
        <v>1049</v>
      </c>
      <c r="P13" s="9">
        <v>290444</v>
      </c>
    </row>
    <row r="14" spans="1:16" x14ac:dyDescent="0.35">
      <c r="H14" s="6" t="s">
        <v>1029</v>
      </c>
      <c r="I14" s="9">
        <v>5344838</v>
      </c>
      <c r="L14" s="6" t="s">
        <v>1042</v>
      </c>
      <c r="M14" s="8">
        <v>15</v>
      </c>
      <c r="O14" s="6" t="s">
        <v>1050</v>
      </c>
      <c r="P14" s="9">
        <v>588813</v>
      </c>
    </row>
    <row r="15" spans="1:16" x14ac:dyDescent="0.35">
      <c r="L15" s="6" t="s">
        <v>1043</v>
      </c>
      <c r="M15" s="8">
        <v>2</v>
      </c>
      <c r="O15" s="6" t="s">
        <v>1051</v>
      </c>
      <c r="P15" s="9">
        <v>1176719</v>
      </c>
    </row>
    <row r="16" spans="1:16" x14ac:dyDescent="0.35">
      <c r="A16" t="s">
        <v>1032</v>
      </c>
      <c r="L16" s="6" t="s">
        <v>1044</v>
      </c>
      <c r="M16" s="8">
        <v>1</v>
      </c>
      <c r="O16" s="6" t="s">
        <v>1052</v>
      </c>
      <c r="P16" s="9">
        <v>432751</v>
      </c>
    </row>
    <row r="17" spans="1:16" x14ac:dyDescent="0.35">
      <c r="A17" s="5" t="s">
        <v>1028</v>
      </c>
      <c r="B17" t="s">
        <v>1030</v>
      </c>
      <c r="I17" s="9"/>
      <c r="L17" s="6" t="s">
        <v>1029</v>
      </c>
      <c r="M17" s="8">
        <v>45</v>
      </c>
      <c r="O17" s="6" t="s">
        <v>1053</v>
      </c>
      <c r="P17" s="9">
        <v>772099</v>
      </c>
    </row>
    <row r="18" spans="1:16" x14ac:dyDescent="0.35">
      <c r="A18" s="6" t="s">
        <v>17</v>
      </c>
      <c r="B18" s="7">
        <v>20</v>
      </c>
      <c r="I18" s="9"/>
      <c r="O18" s="6" t="s">
        <v>1054</v>
      </c>
      <c r="P18" s="9">
        <v>476893</v>
      </c>
    </row>
    <row r="19" spans="1:16" x14ac:dyDescent="0.35">
      <c r="A19" s="6" t="s">
        <v>11</v>
      </c>
      <c r="B19" s="7">
        <v>25</v>
      </c>
      <c r="I19" s="9"/>
      <c r="O19" s="6" t="s">
        <v>1055</v>
      </c>
      <c r="P19" s="9">
        <v>597819</v>
      </c>
    </row>
    <row r="20" spans="1:16" x14ac:dyDescent="0.35">
      <c r="A20" s="6" t="s">
        <v>1029</v>
      </c>
      <c r="B20" s="7">
        <v>45</v>
      </c>
      <c r="I20" s="9"/>
      <c r="O20" s="6" t="s">
        <v>1056</v>
      </c>
      <c r="P20" s="9">
        <v>352089</v>
      </c>
    </row>
    <row r="21" spans="1:16" x14ac:dyDescent="0.35">
      <c r="H21" t="s">
        <v>1046</v>
      </c>
      <c r="I21" s="9"/>
      <c r="L21" t="s">
        <v>1047</v>
      </c>
      <c r="O21" s="6" t="s">
        <v>1057</v>
      </c>
      <c r="P21" s="9">
        <v>87649</v>
      </c>
    </row>
    <row r="22" spans="1:16" x14ac:dyDescent="0.35">
      <c r="H22" s="5" t="s">
        <v>1028</v>
      </c>
      <c r="I22" s="9" t="s">
        <v>1035</v>
      </c>
      <c r="L22" s="5" t="s">
        <v>1028</v>
      </c>
      <c r="M22" s="9" t="s">
        <v>1035</v>
      </c>
      <c r="O22" s="6" t="s">
        <v>1058</v>
      </c>
      <c r="P22" s="9">
        <v>261409</v>
      </c>
    </row>
    <row r="23" spans="1:16" x14ac:dyDescent="0.35">
      <c r="H23" s="6" t="s">
        <v>27</v>
      </c>
      <c r="I23" s="9">
        <v>100263.42857142857</v>
      </c>
      <c r="L23" s="6" t="s">
        <v>1041</v>
      </c>
      <c r="M23" s="9">
        <v>121313.81481481482</v>
      </c>
      <c r="O23" s="6" t="s">
        <v>1059</v>
      </c>
      <c r="P23" s="9">
        <v>308153</v>
      </c>
    </row>
    <row r="24" spans="1:16" x14ac:dyDescent="0.35">
      <c r="H24" s="6" t="s">
        <v>13</v>
      </c>
      <c r="I24" s="9">
        <v>100221.42857142857</v>
      </c>
      <c r="L24" s="6" t="s">
        <v>1042</v>
      </c>
      <c r="M24" s="9">
        <v>112804.06666666667</v>
      </c>
      <c r="O24" s="6" t="s">
        <v>1029</v>
      </c>
      <c r="P24" s="9">
        <v>5344838</v>
      </c>
    </row>
    <row r="25" spans="1:16" x14ac:dyDescent="0.35">
      <c r="H25" s="6" t="s">
        <v>37</v>
      </c>
      <c r="I25" s="9">
        <v>120717.25</v>
      </c>
      <c r="L25" s="6" t="s">
        <v>1043</v>
      </c>
      <c r="M25" s="9">
        <v>112713</v>
      </c>
    </row>
    <row r="26" spans="1:16" x14ac:dyDescent="0.35">
      <c r="A26" t="s">
        <v>1033</v>
      </c>
      <c r="H26" s="6" t="s">
        <v>42</v>
      </c>
      <c r="I26" s="9">
        <v>115134</v>
      </c>
      <c r="L26" s="6" t="s">
        <v>1044</v>
      </c>
      <c r="M26" s="9">
        <v>151878</v>
      </c>
    </row>
    <row r="27" spans="1:16" x14ac:dyDescent="0.35">
      <c r="A27" s="5" t="s">
        <v>1030</v>
      </c>
      <c r="B27" s="5" t="s">
        <v>1031</v>
      </c>
      <c r="H27" s="6" t="s">
        <v>31</v>
      </c>
      <c r="I27" s="9">
        <v>114407.22222222222</v>
      </c>
      <c r="L27" s="6" t="s">
        <v>1029</v>
      </c>
      <c r="M27" s="9">
        <v>118774.17777777778</v>
      </c>
    </row>
    <row r="28" spans="1:16" x14ac:dyDescent="0.35">
      <c r="A28" s="5" t="s">
        <v>1028</v>
      </c>
      <c r="B28" t="s">
        <v>17</v>
      </c>
      <c r="C28" t="s">
        <v>11</v>
      </c>
      <c r="D28" t="s">
        <v>1029</v>
      </c>
      <c r="H28" s="6" t="s">
        <v>23</v>
      </c>
      <c r="I28" s="9">
        <v>165687.33333333334</v>
      </c>
    </row>
    <row r="29" spans="1:16" x14ac:dyDescent="0.35">
      <c r="A29" s="6" t="s">
        <v>24</v>
      </c>
      <c r="B29" s="7">
        <v>20</v>
      </c>
      <c r="C29" s="7">
        <v>25</v>
      </c>
      <c r="D29" s="7">
        <v>45</v>
      </c>
      <c r="H29" s="6" t="s">
        <v>19</v>
      </c>
      <c r="I29" s="9">
        <v>123997</v>
      </c>
    </row>
    <row r="30" spans="1:16" x14ac:dyDescent="0.35">
      <c r="A30" s="6" t="s">
        <v>1029</v>
      </c>
      <c r="B30" s="7">
        <v>20</v>
      </c>
      <c r="C30" s="7">
        <v>25</v>
      </c>
      <c r="D30" s="7">
        <v>45</v>
      </c>
      <c r="H30" s="6" t="s">
        <v>1029</v>
      </c>
      <c r="I30" s="9">
        <v>118774.17777777778</v>
      </c>
    </row>
    <row r="34" spans="11:11" x14ac:dyDescent="0.35">
      <c r="K34" s="10"/>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73" zoomScaleNormal="100" workbookViewId="0">
      <selection activeCell="AJ49" sqref="AJ49"/>
    </sheetView>
  </sheetViews>
  <sheetFormatPr defaultRowHeight="14.5" x14ac:dyDescent="0.35"/>
  <cols>
    <col min="1" max="16384" width="8.7265625" style="11"/>
  </cols>
  <sheetData>
    <row r="1" s="1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9CFF3D-11AE-43DC-B950-58A8833F74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customersssssss</vt:lpstr>
      <vt:lpstr>Pivot Table</vt:lpstr>
      <vt:lpstr>Dashboard</vt:lpstr>
      <vt:lpstr>AVERAGEAGE</vt:lpstr>
      <vt:lpstr>AVERAGEINCOME</vt:lpstr>
      <vt:lpstr>AVERAGETENURE</vt:lpstr>
      <vt:lpstr>TOTALCUSTOMERS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Lucent</dc:creator>
  <cp:lastModifiedBy>amudipe ayomide</cp:lastModifiedBy>
  <dcterms:created xsi:type="dcterms:W3CDTF">2025-10-03T20:48:02Z</dcterms:created>
  <dcterms:modified xsi:type="dcterms:W3CDTF">2026-01-21T00:13:52Z</dcterms:modified>
</cp:coreProperties>
</file>